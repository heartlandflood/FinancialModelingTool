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1. Overhead" sheetId="2" r:id="rId5"/>
    <sheet state="visible" name="2. Labor" sheetId="3" r:id="rId6"/>
    <sheet state="visible" name="3. Equipment" sheetId="4" r:id="rId7"/>
    <sheet state="visible" name="4. Investments" sheetId="5" r:id="rId8"/>
    <sheet state="visible" name="5. Packaged Items" sheetId="6" r:id="rId9"/>
    <sheet state="visible" name="6. DASHBOARD" sheetId="7" r:id="rId10"/>
  </sheets>
  <definedNames/>
  <calcPr/>
  <extLst>
    <ext uri="GoogleSheetsCustomDataVersion2">
      <go:sheetsCustomData xmlns:go="http://customooxmlschemas.google.com/" r:id="rId11" roundtripDataChecksum="z8cExU09b06CZUCnzDFtYAEKtGUjPmcYSOrQdYzkJq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
      <text>
        <t xml:space="preserve">======
ID#AAAB4zxDing
Unknown Author    (2026-05-01 18:06:16)
Calculated. Wage × paid hours × (1 + payroll tax + WC) + benefits. The TRUE monthly cost of this tech.</t>
      </text>
    </comment>
    <comment authorId="0" ref="E21">
      <text>
        <t xml:space="preserve">======
ID#AAAB4zxDinc
Unknown Author    (2026-05-01 18:06:16)
Calculated. Hours/week × weeks/month. This is what you PAY them for.</t>
      </text>
    </comment>
    <comment authorId="0" ref="D21">
      <text>
        <t xml:space="preserve">======
ID#AAAB4zxDinQ
Unknown Author    (2026-05-01 18:06:16)
How many hours per week this tech works. Usually 40. Use 20 for half-time, etc.</t>
      </text>
    </comment>
    <comment authorId="0" ref="H21">
      <text>
        <t xml:space="preserve">======
ID#AAAB4zxDim8
Unknown Author    (2026-05-01 18:06:16)
Monthly benefits cost for this tech: health insurance, retirement match, phone allowance, etc. Type 0 if none.</t>
      </text>
    </comment>
    <comment authorId="0" ref="J21">
      <text>
        <t xml:space="preserve">======
ID#AAAB4zxDims
Unknown Author    (2026-05-01 18:06:16)
Calculated. Loaded $/mo ÷ Billable hrs. The MINIMUM you must charge per hour to break even on this tech. Charge less = you lose money.</t>
      </text>
    </comment>
    <comment authorId="0" ref="K21">
      <text>
        <t xml:space="preserve">======
ID#AAAB4zxDimk
Unknown Author    (2026-05-01 18:06:16)
Optional notes (e.g., 'New hire', 'Lead — runs higher util', 'Part-time')</t>
      </text>
    </comment>
    <comment authorId="0" ref="G21">
      <text>
        <t xml:space="preserve">======
ID#AAAB4zxDimo
Unknown Author    (2026-05-01 18:06:16)
Calculated. Paid hours × Billable Time %. These are the hours you can charge customers for.</t>
      </text>
    </comment>
    <comment authorId="0" ref="F21">
      <text>
        <t xml:space="preserve">======
ID#AAAB4zxDimU
Unknown Author    (2026-05-01 18:06:16)
What % of paid time you can actually INVOICE the customer. Industry typical: 55–70%. Leave blank to use the team default. Override if a senior tech is in the truck more or an apprentice less.</t>
      </text>
    </comment>
    <comment authorId="0" ref="C21">
      <text>
        <t xml:space="preserve">======
ID#AAAB4zxDimQ
Unknown Author    (2026-05-01 18:06:16)
What you actually pay this person per hour. Don't include payroll tax or WC — those are added automatically.</t>
      </text>
    </comment>
    <comment authorId="0" ref="B21">
      <text>
        <t xml:space="preserve">======
ID#AAAB4zxDimI
Unknown Author    (2026-05-01 18:06:16)
Type the tech's name or role (e.g., 'John' or 'Lead Tech #1'). Leave blank to skip a row.</t>
      </text>
    </comment>
  </commentList>
  <extLst>
    <ext uri="GoogleSheetsCustomDataVersion2">
      <go:sheetsCustomData xmlns:go="http://customooxmlschemas.google.com/" r:id="rId1" roundtripDataSignature="AMtx7mhnfL+uv6W1VsU0KR9kYmJxuF+SI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5">
      <text>
        <t xml:space="preserve">======
ID#AAAB4zxDinI
Unknown Author    (2026-05-01 18:06:16)
What you charge the customer per day per unit when this gear is on a job.</t>
      </text>
    </comment>
    <comment authorId="0" ref="K15">
      <text>
        <t xml:space="preserve">======
ID#AAAB4zxDinM
Unknown Author    (2026-05-01 18:06:16)
Calculated. Revenue − Cost. Green = profitable, Red = loss.</t>
      </text>
    </comment>
    <comment authorId="0" ref="C15">
      <text>
        <t xml:space="preserve">======
ID#AAAB4zxDinA
Unknown Author    (2026-05-01 18:06:16)
How many of these you OWN. Used only to calculate depreciation &amp; maintenance — NOT revenue.</t>
      </text>
    </comment>
    <comment authorId="0" ref="D15">
      <text>
        <t xml:space="preserve">======
ID#AAAB4zxDinE
Unknown Author    (2026-05-01 18:06:16)
What you paid per unit when you bought it (one unit, not the whole fleet).</t>
      </text>
    </comment>
    <comment authorId="0" ref="G15">
      <text>
        <t xml:space="preserve">======
ID#AAAB4zxDim4
Unknown Author    (2026-05-01 18:06:16)
TOTAL unit-days of rental in a typical month, across ALL units. Example: 10 air movers, 5 jobs, ~4 movers per job × 4 days each = 80 unit-days. Or just look at last month's actual rentals.</t>
      </text>
    </comment>
    <comment authorId="0" ref="L15">
      <text>
        <t xml:space="preserve">======
ID#AAAB4zxDimw
Unknown Author    (2026-05-01 18:06:16)
Calculated. Unit-days rented ÷ (Qty owned × 30 days). Shows how hard your fleet is working. Under 30% means you may own too much; over 80% means you may be turning down work.</t>
      </text>
    </comment>
    <comment authorId="0" ref="B15">
      <text>
        <t xml:space="preserve">======
ID#AAAB4zxDimc
Unknown Author    (2026-05-01 18:06:16)
Type of equipment (air mover, dehu, AFD, extractor, etc.)</t>
      </text>
    </comment>
    <comment authorId="0" ref="E15">
      <text>
        <t xml:space="preserve">======
ID#AAAB4zxDimY
Unknown Author    (2026-05-01 18:06:16)
How many months you expect this gear to last before needing replacement. Air movers ~60mo, dehus ~84mo, extractors ~84mo are reasonable defaults.</t>
      </text>
    </comment>
    <comment authorId="0" ref="J15">
      <text>
        <t xml:space="preserve">======
ID#AAAB4zxDimM
Unknown Author    (2026-05-01 18:06:16)
Calculated. Qty owned × (depreciation + maintenance). Cost of having the gear, rented or not.</t>
      </text>
    </comment>
    <comment authorId="0" ref="H15">
      <text>
        <t xml:space="preserve">======
ID#AAAB4zxDimA
Unknown Author    (2026-05-01 18:06:16)
Average maintenance cost per unit per month (calibration, cleaning, repairs, replacement parts).</t>
      </text>
    </comment>
    <comment authorId="0" ref="M15">
      <text>
        <t xml:space="preserve">======
ID#AAAB4zxDimE
Unknown Author    (2026-05-01 18:06:16)
Calculated. Profit per unit-day rented. Useful for comparing equipment types apples-to-apples.</t>
      </text>
    </comment>
    <comment authorId="0" ref="I15">
      <text>
        <t xml:space="preserve">======
ID#AAAB4zxDil8
Unknown Author    (2026-05-01 18:06:16)
Calculated. Daily rental × unit-days rented. Pure rental revenue.</t>
      </text>
    </comment>
  </commentList>
  <extLst>
    <ext uri="GoogleSheetsCustomDataVersion2">
      <go:sheetsCustomData xmlns:go="http://customooxmlschemas.google.com/" r:id="rId1" roundtripDataSignature="AMtx7mgu/SlCV9SXYP9bPCj4TQKBYRb4C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ID#AAAB4zxDinU
Unknown Author    (2026-05-01 18:06:16)
Auto-calculated from Equipment tab (Daily Rental × Unit-Days Rented). To change, edit the Equipment tab inputs.</t>
      </text>
    </comment>
    <comment authorId="0" ref="F9">
      <text>
        <t xml:space="preserve">======
ID#AAAB4zxDinY
Unknown Author    (2026-05-01 18:06:16)
Auto-calculated from Packaged Items tab (price × units sold/mo). To change, edit the Units Sold column on that tab.</t>
      </text>
    </comment>
    <comment authorId="0" ref="C20">
      <text>
        <t xml:space="preserve">======
ID#AAAB4zxDim0
Unknown Author    (2026-05-01 18:06:16)
Hours needed to break even ÷ avg billable hours per tech, rounded up. Avg = total billable hrs / # techs.</t>
      </text>
    </comment>
    <comment authorId="0" ref="C35">
      <text>
        <t xml:space="preserve">======
ID#AAAB4zxDimg
Unknown Author    (2026-05-01 18:06:16)
Team weighted average. Charging less than this loses money on labor alone.</t>
      </text>
    </comment>
  </commentList>
  <extLst>
    <ext uri="GoogleSheetsCustomDataVersion2">
      <go:sheetsCustomData xmlns:go="http://customooxmlschemas.google.com/" r:id="rId1" roundtripDataSignature="AMtx7mjVjs12RF8nuC9dboFPF1vEH3KqUg=="/>
    </ext>
  </extLst>
</comments>
</file>

<file path=xl/sharedStrings.xml><?xml version="1.0" encoding="utf-8"?>
<sst xmlns="http://schemas.openxmlformats.org/spreadsheetml/2006/main" count="243" uniqueCount="234">
  <si>
    <t>🏠  Heartland Restoration Budget Model</t>
  </si>
  <si>
    <t>Version 1.2  •  Built for easy use — anyone can drive this</t>
  </si>
  <si>
    <t>This workbook tells you ONE thing: are you going to make money this month, and what does it take to keep making money? You enter your costs and what you charge. The math happens for you.</t>
  </si>
  <si>
    <t>🆕  What's new in v1.2</t>
  </si>
  <si>
    <t>• LABOR TAB — Clearer columns. You now see paid hours and billable hours side-by-side. The old 'Util %' is now 'Billable Time %' — what % of paid time you can invoice. Hover over any column header for an in-cell explanation.
• EQUIPMENT TAB — One simpler input. Instead of asking 'days deployed per unit', the model now asks for total UNIT-DAYS RENTED in a month — the actual rental volume. Plus a new 'Fleet Utilization %' column shows you which gear is sitting idle.</t>
  </si>
  <si>
    <t>🎨  COLOR GUIDE — How to read this workbook</t>
  </si>
  <si>
    <t>Yellow box, blue text</t>
  </si>
  <si>
    <t>YOU CHANGE THIS</t>
  </si>
  <si>
    <t>These are your inputs. Change anything yellow.</t>
  </si>
  <si>
    <t>Black text</t>
  </si>
  <si>
    <t>DON'T TOUCH</t>
  </si>
  <si>
    <t>These are formulas. They calculate automatically.</t>
  </si>
  <si>
    <t>Green text</t>
  </si>
  <si>
    <t>PULLED FROM ANOTHER TAB</t>
  </si>
  <si>
    <t>These pull numbers from a different sheet.</t>
  </si>
  <si>
    <t>Light green box</t>
  </si>
  <si>
    <t>WORKED EXAMPLE</t>
  </si>
  <si>
    <t>Walk-through example showing how the math works.</t>
  </si>
  <si>
    <t>Peach fill</t>
  </si>
  <si>
    <t>TOTAL or RESULT</t>
  </si>
  <si>
    <t>Subtotals and final answers live here.</t>
  </si>
  <si>
    <t>Light blue fill</t>
  </si>
  <si>
    <t>SECTION HEADER</t>
  </si>
  <si>
    <t>Just a label dividing parts of a tab.</t>
  </si>
  <si>
    <t>Green = profit, Red = loss</t>
  </si>
  <si>
    <t>RESULT INDICATOR</t>
  </si>
  <si>
    <t>On the Dashboard, green means you made money.</t>
  </si>
  <si>
    <t>📋  TABS — Walk through them in this order</t>
  </si>
  <si>
    <t>1. Overhead</t>
  </si>
  <si>
    <t>Your monthly fixed bills (rent, insurance, software, owner draw, etc.)</t>
  </si>
  <si>
    <t>2. Labor</t>
  </si>
  <si>
    <t>Tech roster — one row per person. Each has their own wage.</t>
  </si>
  <si>
    <t>3. Equipment</t>
  </si>
  <si>
    <t>Air movers, dehus, etc. — what each unit makes you per month.</t>
  </si>
  <si>
    <t>4. Investments</t>
  </si>
  <si>
    <t>Vehicles, offices, big buys. Add a row, see the impact.</t>
  </si>
  <si>
    <t>5. Packaged Items</t>
  </si>
  <si>
    <t>Decon chambers and other fixed-price kits — what they really cost.</t>
  </si>
  <si>
    <t>6. DASHBOARD</t>
  </si>
  <si>
    <t>👉 Your answers live here. Profit, break-even, sensitivity table.</t>
  </si>
  <si>
    <t>🚦  HOW TO USE IT — 4 steps</t>
  </si>
  <si>
    <t>1. Go through tabs 1–5 in order. Fill in every yellow box you can. Skip the rest for now.</t>
  </si>
  <si>
    <t>2. Each input-heavy tab has a green WORKED EXAMPLE box — read it first if you're unsure.</t>
  </si>
  <si>
    <t>3. Open the DASHBOARD tab. Read your monthly profit/loss and break-even.</t>
  </si>
  <si>
    <t>4. Try changes. Add a vehicle on the Investments tab. Watch the dashboard recalc.</t>
  </si>
  <si>
    <t>1. Monthly Overhead — your fixed bills</t>
  </si>
  <si>
    <t>These are bills you pay every month no matter what — even if you don't do a single job. Yellow = change it. Add your own categories at the bottom. Owner draw is included so the model treats your $5,000 take-home as a real cost.</t>
  </si>
  <si>
    <t>Category</t>
  </si>
  <si>
    <t>Monthly Cost</t>
  </si>
  <si>
    <t>Notes</t>
  </si>
  <si>
    <t>Office / shop rent</t>
  </si>
  <si>
    <t>Your physical location</t>
  </si>
  <si>
    <t>Property / liability insurance</t>
  </si>
  <si>
    <t>GL, property, umbrella</t>
  </si>
  <si>
    <t>Workers comp insurance</t>
  </si>
  <si>
    <t>If billed monthly (otherwise leave 0 — it's loaded into Labor tab)</t>
  </si>
  <si>
    <t>Software (CRM, accounting, etc.)</t>
  </si>
  <si>
    <t>QuickBooks, ServiceReady, dispatch software, etc.</t>
  </si>
  <si>
    <t>Phones &amp; internet</t>
  </si>
  <si>
    <t>Office + tech cell phones</t>
  </si>
  <si>
    <t>Marketing &amp; advertising</t>
  </si>
  <si>
    <t>PPC, LSA, SEO, print, GMB tools</t>
  </si>
  <si>
    <t>Office utilities</t>
  </si>
  <si>
    <t>Power, water, gas, trash</t>
  </si>
  <si>
    <t>Accounting / bookkeeping</t>
  </si>
  <si>
    <t>CPA, bookkeeper retainer</t>
  </si>
  <si>
    <t>Legal / professional fees</t>
  </si>
  <si>
    <t>Avg monthly amortized</t>
  </si>
  <si>
    <t>Office supplies</t>
  </si>
  <si>
    <t>Paper, printer, small stuff</t>
  </si>
  <si>
    <t>Bank / merchant fees</t>
  </si>
  <si>
    <t>Card processing, bank charges</t>
  </si>
  <si>
    <t>Subscriptions &amp; memberships</t>
  </si>
  <si>
    <t>IICRC, RIA, trade groups</t>
  </si>
  <si>
    <t>Owner draw / salary</t>
  </si>
  <si>
    <t>Your $5K target — already counted as a cost</t>
  </si>
  <si>
    <t>Debt service (loans not on Investments tab)</t>
  </si>
  <si>
    <t>Existing LOC, term loans</t>
  </si>
  <si>
    <t>Training &amp; certifications</t>
  </si>
  <si>
    <t>Other 1</t>
  </si>
  <si>
    <t>Add anything</t>
  </si>
  <si>
    <t>Other 2</t>
  </si>
  <si>
    <t>Other 3</t>
  </si>
  <si>
    <t>Other 4</t>
  </si>
  <si>
    <t>Other 5</t>
  </si>
  <si>
    <t>TOTAL MONTHLY OVERHEAD</t>
  </si>
  <si>
    <t>2. Labor — tech roster (per-tech wages)</t>
  </si>
  <si>
    <t>Each row is one tech. Enter their wage, hours per week, and any benefits. The yellow cells are inputs. The model calculates each person's fully-loaded cost and cost per billable hour — and a weighted team average that other tabs use. Tip: hover over any column header for a tooltip explaining what to type.</t>
  </si>
  <si>
    <t>📘  WORKED EXAMPLE — How a single tech row is calculated</t>
  </si>
  <si>
    <t>• Wage: $25/hr  •  Hours/week: 40  •  Billable Time: 60%</t>
  </si>
  <si>
    <t>• Paid hrs/mo = 40 × 4.333 weeks = 173 hours (you pay them for these)</t>
  </si>
  <si>
    <t>• Billable hrs/mo = 173 × 60% = 104 hours (you can invoice these)</t>
  </si>
  <si>
    <t>• The other 69 hours = drive time, shop time, training, slow days. You pay for them but can't bill them.</t>
  </si>
  <si>
    <t>• Loaded cost/mo = $25 × 173 hrs × (1 + 10% payroll tax + 12% workers comp) = $5,286</t>
  </si>
  <si>
    <t>• True cost per billable hour = $5,286 ÷ 104 = $50.83</t>
  </si>
  <si>
    <t>• If you charge a customer LESS than $50.83/hr on this tech, you LOSE money on labor alone.</t>
  </si>
  <si>
    <t xml:space="preserve">  SHARED ASSUMPTIONS  (apply to every tech)</t>
  </si>
  <si>
    <t>Weeks worked per month</t>
  </si>
  <si>
    <t>52 weeks ÷ 12 months = 4.333. Don't change unless you have a special schedule.</t>
  </si>
  <si>
    <t>Employer payroll tax %</t>
  </si>
  <si>
    <t>FICA + FUTA + SUTA. Usually 8–10%. Your CPA can confirm your actual rate.</t>
  </si>
  <si>
    <t>Workers comp %</t>
  </si>
  <si>
    <t>Restoration is high-risk — usually 8–15%. Get the exact rate from your WC policy.</t>
  </si>
  <si>
    <t>Default Billable Time %</t>
  </si>
  <si>
    <t>Used when a tech's row is left blank. Industry typical: 55–70% for restoration.</t>
  </si>
  <si>
    <t xml:space="preserve">  TECH ROSTER  (one row per tech — add more anytime)</t>
  </si>
  <si>
    <t>Tech Name</t>
  </si>
  <si>
    <t>Wage $/hr</t>
  </si>
  <si>
    <t>Hrs/wk</t>
  </si>
  <si>
    <t>Paid hrs/mo</t>
  </si>
  <si>
    <t>Billable Time %</t>
  </si>
  <si>
    <t>Billable hrs/mo</t>
  </si>
  <si>
    <t>Benefits $/mo</t>
  </si>
  <si>
    <t>Loaded $/mo</t>
  </si>
  <si>
    <t>Cost / billable hr</t>
  </si>
  <si>
    <t>Tech 1 — Lead</t>
  </si>
  <si>
    <t>Senior — higher util</t>
  </si>
  <si>
    <t>Tech 2 — Mid</t>
  </si>
  <si>
    <t>Uses default 60%</t>
  </si>
  <si>
    <t>Sales - Jr</t>
  </si>
  <si>
    <t>New hire — lower util</t>
  </si>
  <si>
    <t>ROSTER TOTALS</t>
  </si>
  <si>
    <t xml:space="preserve">  TEAM SUMMARY  (these numbers feed the Dashboard)</t>
  </si>
  <si>
    <t>Number of techs on payroll</t>
  </si>
  <si>
    <t>Counted automatically from filled-in rows above</t>
  </si>
  <si>
    <t>Total monthly labor cost (all techs)</t>
  </si>
  <si>
    <t>Sum of every tech's loaded cost</t>
  </si>
  <si>
    <t>Total billable hours available / mo</t>
  </si>
  <si>
    <t>Max hours your team CAN bill at their Billable Time %</t>
  </si>
  <si>
    <t>Weighted avg cost / billable hr</t>
  </si>
  <si>
    <t>👈 Charge LESS than this on labor and you LOSE money — even before overhead.</t>
  </si>
  <si>
    <t>3. Equipment Rental — per-line profitability</t>
  </si>
  <si>
    <t>Each row is one type of equipment you rent out. The KEY input is 'Unit-Days Rented / mo' — the total volume of rentals across all units in a typical month. Quantity Owned is only used to figure out depreciation and maintenance — the cost of having the gear on the shelf even when it isn't out on a job.</t>
  </si>
  <si>
    <t>📘  WORKED EXAMPLE — How a single equipment row is calculated</t>
  </si>
  <si>
    <t>• You OWN 10 air movers — purchased at $200 each, useful life 60 months.</t>
  </si>
  <si>
    <t>• Each one costs $200 ÷ 60 = $3.33/mo to depreciate (plus $5/mo maintenance) = $8.33/mo per unit.</t>
  </si>
  <si>
    <t>• Total equipment cost = 10 owned × $8.33 = $83/mo (whether they're rented or sitting in the warehouse).</t>
  </si>
  <si>
    <t>• Last month you rented out 200 unit-days total (e.g., 10 jobs × ~5 movers × ~4 days each).</t>
  </si>
  <si>
    <t>• Daily rental rate: $37/day. Revenue = $37 × 200 = $7,400.</t>
  </si>
  <si>
    <t>• Profit = $7,400 − $83 = $7,317. That's the green column.</t>
  </si>
  <si>
    <t>• Fleet Utilization = 200 unit-days ÷ (10 units × 30 days) = 67%. Your fleet is working hard.</t>
  </si>
  <si>
    <t>• If Fleet Util shows under ~30%, you might own too much gear for the volume you're doing.</t>
  </si>
  <si>
    <t>Equipment Type</t>
  </si>
  <si>
    <t>Qty Owned</t>
  </si>
  <si>
    <t>Purchase $ each</t>
  </si>
  <si>
    <t>Useful life (mo)</t>
  </si>
  <si>
    <t>Daily Rental $</t>
  </si>
  <si>
    <t>Unit-Days Rented / mo</t>
  </si>
  <si>
    <t>Maint $ / mo / unit</t>
  </si>
  <si>
    <t>Mo Revenue</t>
  </si>
  <si>
    <t>Mo Cost</t>
  </si>
  <si>
    <t>Mo Profit</t>
  </si>
  <si>
    <t>Fleet Util %</t>
  </si>
  <si>
    <t>Profit / Unit-Day</t>
  </si>
  <si>
    <t>Air mover</t>
  </si>
  <si>
    <t>Dehumidifier (LGR)</t>
  </si>
  <si>
    <t>AFD / Air scrubber</t>
  </si>
  <si>
    <t>Extractor</t>
  </si>
  <si>
    <t>EQUIPMENT TOTALS</t>
  </si>
  <si>
    <t>4. Investments — vehicles, offices, big buys</t>
  </si>
  <si>
    <t>Each row = one investment. Use 'Cash' or 'Financed' in column C. If financed, fill in Down Payment, APR (e.g. 0.08 for 8%), and Term (months). The model figures out the monthly payment AND adds running costs (fuel, insurance, maintenance). Add as many rows as you want — each one shows up on the Dashboard and changes your break-even bill rate.</t>
  </si>
  <si>
    <t>Investment Name</t>
  </si>
  <si>
    <t>Cash or Financed?</t>
  </si>
  <si>
    <t>Total Cost</t>
  </si>
  <si>
    <t>Down Payment</t>
  </si>
  <si>
    <t>APR</t>
  </si>
  <si>
    <t>Term (mo)</t>
  </si>
  <si>
    <t>Useful Life (yrs)</t>
  </si>
  <si>
    <t>Running $ / mo</t>
  </si>
  <si>
    <t>Monthly Loan/Dep</t>
  </si>
  <si>
    <t>Total Monthly Cost</t>
  </si>
  <si>
    <t>Service truck #1</t>
  </si>
  <si>
    <t>Financed</t>
  </si>
  <si>
    <t>Loaded restoration truck</t>
  </si>
  <si>
    <t>Service truck #2</t>
  </si>
  <si>
    <t>Cash</t>
  </si>
  <si>
    <t>Add cost to switch to financed</t>
  </si>
  <si>
    <t>Office space (build-out)</t>
  </si>
  <si>
    <t>If you buy/build an office</t>
  </si>
  <si>
    <t>INVESTMENTS TOTAL</t>
  </si>
  <si>
    <t>💡 In column C type exactly 'Cash' or 'Financed' (capital letter). Default vehicle running costs ~$1,400/mo cover fuel, insurance, maintenance, registration. Adjust if your numbers differ.</t>
  </si>
  <si>
    <t>5. Packaged Items — fixed-price kits</t>
  </si>
  <si>
    <t>A 'package' is a fixed-price item like a Decontamination Chamber. It bundles materials and a set number of labor hours. The model uses the team's WEIGHTED AVERAGE labor cost (from the Labor tab — accounts for all your different wages) to tell you what each package actually costs. The 'Units sold / mo' column lets you forecast revenue.</t>
  </si>
  <si>
    <t>Package Name</t>
  </si>
  <si>
    <t>Sale Price</t>
  </si>
  <si>
    <t>Material Cost</t>
  </si>
  <si>
    <t>Labor Hours</t>
  </si>
  <si>
    <t>Labor Cost</t>
  </si>
  <si>
    <t>Profit / unit</t>
  </si>
  <si>
    <t>Margin %</t>
  </si>
  <si>
    <t>Units Sold / mo</t>
  </si>
  <si>
    <t>Decontamination chamber</t>
  </si>
  <si>
    <t>Containment build-out (per room)</t>
  </si>
  <si>
    <t>Prep Egress</t>
  </si>
  <si>
    <t>Large Dump</t>
  </si>
  <si>
    <t>Small Dump</t>
  </si>
  <si>
    <t>PACKAGE FORECAST TOTAL</t>
  </si>
  <si>
    <t>🎯  DASHBOARD — your answers</t>
  </si>
  <si>
    <t>This is the only tab that matters once your inputs are filled in. You set your forecast (billed hours and bill rate) at the top right. Everything else updates automatically. The sensitivity table at the bottom shows your profit at every reasonable rate × hours combo.</t>
  </si>
  <si>
    <t xml:space="preserve">  YOUR MONTHLY COSTS</t>
  </si>
  <si>
    <t xml:space="preserve">  YOUR MONTHLY FORECAST</t>
  </si>
  <si>
    <t>Total fixed overhead</t>
  </si>
  <si>
    <t>Hours billed this month (forecast)</t>
  </si>
  <si>
    <t>Total labor (all techs)</t>
  </si>
  <si>
    <t>Avg billed rate per hour ($)</t>
  </si>
  <si>
    <t>Total equipment costs</t>
  </si>
  <si>
    <t>Equipment revenue (forecast)</t>
  </si>
  <si>
    <t>Total investment costs</t>
  </si>
  <si>
    <t>Packaged item revenue (forecast)</t>
  </si>
  <si>
    <t>TOTAL MONTHLY COSTS</t>
  </si>
  <si>
    <t>TOTAL MONTHLY REVENUE</t>
  </si>
  <si>
    <t xml:space="preserve">  💰  THE BOTTOM LINE</t>
  </si>
  <si>
    <t>Monthly profit (or loss)</t>
  </si>
  <si>
    <t>Status</t>
  </si>
  <si>
    <t>Owner draw already counted?</t>
  </si>
  <si>
    <t xml:space="preserve">  📐  BREAK-EVEN — answers to your 5 questions</t>
  </si>
  <si>
    <t>Q1. Hours to bill at current rate to break even</t>
  </si>
  <si>
    <t xml:space="preserve">    ↳ At current bill rate of...</t>
  </si>
  <si>
    <t>Q2. Techs needed (avg productivity per tech)</t>
  </si>
  <si>
    <t xml:space="preserve">    ↳ Your current team's max billable hours</t>
  </si>
  <si>
    <t xml:space="preserve">    ↳ Are you forecasting more than capacity?</t>
  </si>
  <si>
    <t>Q3. Break-even bill rate at forecasted hours</t>
  </si>
  <si>
    <t xml:space="preserve">    ↳ At forecasted hours of...</t>
  </si>
  <si>
    <t xml:space="preserve">    ↳ Charging less than this = LOSS</t>
  </si>
  <si>
    <t>Q4. Equipment monthly profit (all units)</t>
  </si>
  <si>
    <t xml:space="preserve">    ↳ See Equipment tab for per-unit detail</t>
  </si>
  <si>
    <t>Q5. Investments monthly cost burden</t>
  </si>
  <si>
    <t xml:space="preserve">    ↳ Hours per month needed JUST to cover investments</t>
  </si>
  <si>
    <t xml:space="preserve">    ↳ Add a row on Investments tab → watch this update</t>
  </si>
  <si>
    <t>Reference: weighted avg cost / billable hr (labor)</t>
  </si>
  <si>
    <t xml:space="preserve">  🔥  SENSITIVITY TABLE — profit at every rate × hours combo</t>
  </si>
  <si>
    <t>Rows = hours billed per month. Columns = your bill rate. Each cell = monthly profit (includes equipment + packages + investments + overhead + labor). Green = profit, red = loss.</t>
  </si>
  <si>
    <t>Hours ↓  /  Rate →</t>
  </si>
  <si>
    <t>📍 Find your real-world cell: pick the row closest to hours you actually bill, and the column closest to your average rate. That's roughly your monthly profit.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</si>
</sst>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quot;($&quot;#,##0\);\-"/>
    <numFmt numFmtId="165" formatCode="#,##0.0;\(#,##0.0\);\-"/>
    <numFmt numFmtId="166" formatCode="0.0%;\(0.0%\);\-"/>
    <numFmt numFmtId="167" formatCode="\$#,##0.00;&quot;($&quot;#,##0.00\);\-"/>
    <numFmt numFmtId="168" formatCode="#,##0;\(#,##0\);\-"/>
  </numFmts>
  <fonts count="19">
    <font>
      <sz val="11.0"/>
      <color theme="1"/>
      <name val="Calibri"/>
      <scheme val="minor"/>
    </font>
    <font>
      <b/>
      <sz val="18.0"/>
      <color rgb="FF1F4E79"/>
      <name val="Arial"/>
    </font>
    <font>
      <i/>
      <sz val="10.0"/>
      <color rgb="FF595959"/>
      <name val="Arial"/>
    </font>
    <font>
      <sz val="12.0"/>
      <color theme="1"/>
      <name val="Arial"/>
    </font>
    <font/>
    <font>
      <b/>
      <sz val="14.0"/>
      <color rgb="FF1F4E79"/>
      <name val="Arial"/>
    </font>
    <font>
      <sz val="11.0"/>
      <color theme="1"/>
      <name val="Arial"/>
    </font>
    <font>
      <sz val="11.0"/>
      <color rgb="FF0000FF"/>
      <name val="Arial"/>
    </font>
    <font>
      <b/>
      <sz val="11.0"/>
      <color theme="1"/>
      <name val="Arial"/>
    </font>
    <font>
      <sz val="11.0"/>
      <color rgb="FF000000"/>
      <name val="Arial"/>
    </font>
    <font>
      <sz val="11.0"/>
      <color rgb="FF008000"/>
      <name val="Arial"/>
    </font>
    <font>
      <sz val="10.0"/>
      <color rgb="FF385723"/>
      <name val="Arial"/>
    </font>
    <font>
      <b/>
      <sz val="12.0"/>
      <color rgb="FF1F4E79"/>
      <name val="Arial"/>
    </font>
    <font>
      <b/>
      <sz val="12.0"/>
      <color rgb="FFFFFFFF"/>
      <name val="Arial"/>
    </font>
    <font>
      <b/>
      <sz val="12.0"/>
      <color theme="1"/>
      <name val="Arial"/>
    </font>
    <font>
      <sz val="11.0"/>
      <color theme="1"/>
      <name val="Calibri"/>
    </font>
    <font>
      <b/>
      <sz val="11.0"/>
      <color rgb="FF385723"/>
      <name val="Arial"/>
    </font>
    <font>
      <b/>
      <sz val="14.0"/>
      <color theme="1"/>
      <name val="Arial"/>
    </font>
    <font>
      <b/>
      <sz val="16.0"/>
      <color theme="1"/>
      <name val="Arial"/>
    </font>
  </fonts>
  <fills count="8">
    <fill>
      <patternFill patternType="none"/>
    </fill>
    <fill>
      <patternFill patternType="lightGray"/>
    </fill>
    <fill>
      <patternFill patternType="solid">
        <fgColor rgb="FFFFF2CC"/>
        <bgColor rgb="FFFFF2CC"/>
      </patternFill>
    </fill>
    <fill>
      <patternFill patternType="solid">
        <fgColor rgb="FFFFF9C4"/>
        <bgColor rgb="FFFFF9C4"/>
      </patternFill>
    </fill>
    <fill>
      <patternFill patternType="solid">
        <fgColor rgb="FFE2EFDA"/>
        <bgColor rgb="FFE2EFDA"/>
      </patternFill>
    </fill>
    <fill>
      <patternFill patternType="solid">
        <fgColor rgb="FFFCE4D6"/>
        <bgColor rgb="FFFCE4D6"/>
      </patternFill>
    </fill>
    <fill>
      <patternFill patternType="solid">
        <fgColor rgb="FFD9E1F2"/>
        <bgColor rgb="FFD9E1F2"/>
      </patternFill>
    </fill>
    <fill>
      <patternFill patternType="solid">
        <fgColor rgb="FF1F4E79"/>
        <bgColor rgb="FF1F4E79"/>
      </patternFill>
    </fill>
  </fills>
  <borders count="12">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medium">
        <color rgb="FF1F4E79"/>
      </left>
      <right style="medium">
        <color rgb="FF1F4E79"/>
      </right>
      <top style="medium">
        <color rgb="FF1F4E79"/>
      </top>
      <bottom style="medium">
        <color rgb="FF1F4E79"/>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bottom" wrapText="0"/>
    </xf>
    <xf borderId="1" fillId="2" fontId="3" numFmtId="0" xfId="0" applyAlignment="1" applyBorder="1" applyFill="1" applyFont="1">
      <alignment horizontal="left" shrinkToFit="0" vertical="center" wrapText="1"/>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0" fillId="0" fontId="5" numFmtId="0" xfId="0" applyAlignment="1" applyFont="1">
      <alignment shrinkToFit="0" vertical="bottom" wrapText="0"/>
    </xf>
    <xf borderId="7" fillId="2" fontId="6" numFmtId="0" xfId="0" applyAlignment="1" applyBorder="1" applyFont="1">
      <alignment horizontal="left" shrinkToFit="0" vertical="top" wrapText="1"/>
    </xf>
    <xf borderId="8" fillId="0" fontId="4" numFmtId="0" xfId="0" applyBorder="1" applyFont="1"/>
    <xf borderId="9" fillId="0" fontId="4" numFmtId="0" xfId="0" applyBorder="1" applyFont="1"/>
    <xf borderId="10" fillId="3" fontId="7" numFmtId="0" xfId="0" applyAlignment="1" applyBorder="1" applyFill="1" applyFont="1">
      <alignment horizontal="center" shrinkToFit="0" vertical="center" wrapText="0"/>
    </xf>
    <xf borderId="10" fillId="0" fontId="8" numFmtId="0" xfId="0" applyAlignment="1" applyBorder="1" applyFont="1">
      <alignment shrinkToFit="0" vertical="bottom" wrapText="0"/>
    </xf>
    <xf borderId="7" fillId="0" fontId="6" numFmtId="0" xfId="0" applyAlignment="1" applyBorder="1" applyFont="1">
      <alignment horizontal="left" shrinkToFit="0" vertical="center" wrapText="1"/>
    </xf>
    <xf borderId="10" fillId="0" fontId="9" numFmtId="0" xfId="0" applyAlignment="1" applyBorder="1" applyFont="1">
      <alignment horizontal="center" shrinkToFit="0" vertical="center" wrapText="0"/>
    </xf>
    <xf borderId="10" fillId="0" fontId="10" numFmtId="0" xfId="0" applyAlignment="1" applyBorder="1" applyFont="1">
      <alignment horizontal="center" shrinkToFit="0" vertical="center" wrapText="0"/>
    </xf>
    <xf borderId="10" fillId="4" fontId="11" numFmtId="0" xfId="0" applyAlignment="1" applyBorder="1" applyFill="1" applyFont="1">
      <alignment horizontal="center" shrinkToFit="0" vertical="center" wrapText="0"/>
    </xf>
    <xf borderId="10" fillId="5" fontId="8" numFmtId="0" xfId="0" applyAlignment="1" applyBorder="1" applyFill="1" applyFont="1">
      <alignment horizontal="center" shrinkToFit="0" vertical="center" wrapText="0"/>
    </xf>
    <xf borderId="10" fillId="6" fontId="12" numFmtId="0" xfId="0" applyAlignment="1" applyBorder="1" applyFill="1" applyFont="1">
      <alignment horizontal="center" shrinkToFit="0" vertical="center" wrapText="0"/>
    </xf>
    <xf borderId="10" fillId="0" fontId="8" numFmtId="0" xfId="0" applyAlignment="1" applyBorder="1" applyFont="1">
      <alignment horizontal="center" shrinkToFit="0" vertical="center" wrapText="0"/>
    </xf>
    <xf borderId="10" fillId="0" fontId="8" numFmtId="0" xfId="0" applyAlignment="1" applyBorder="1" applyFont="1">
      <alignment horizontal="left" shrinkToFit="0" vertical="center" wrapText="0"/>
    </xf>
    <xf borderId="0" fillId="0" fontId="6" numFmtId="0" xfId="0" applyAlignment="1" applyFont="1">
      <alignment horizontal="left" shrinkToFit="0" vertical="center" wrapText="1"/>
    </xf>
    <xf borderId="7" fillId="2" fontId="2" numFmtId="0" xfId="0" applyAlignment="1" applyBorder="1" applyFont="1">
      <alignment horizontal="left" shrinkToFit="0" vertical="center" wrapText="1"/>
    </xf>
    <xf borderId="10" fillId="7" fontId="13" numFmtId="0" xfId="0" applyAlignment="1" applyBorder="1" applyFill="1" applyFont="1">
      <alignment horizontal="center" shrinkToFit="0" vertical="center" wrapText="1"/>
    </xf>
    <xf borderId="10" fillId="0" fontId="6" numFmtId="0" xfId="0" applyAlignment="1" applyBorder="1" applyFont="1">
      <alignment horizontal="left" shrinkToFit="0" vertical="bottom" wrapText="0"/>
    </xf>
    <xf borderId="10" fillId="3" fontId="7" numFmtId="164" xfId="0" applyAlignment="1" applyBorder="1" applyFont="1" applyNumberFormat="1">
      <alignment horizontal="right"/>
    </xf>
    <xf borderId="10" fillId="0" fontId="2" numFmtId="0" xfId="0" applyAlignment="1" applyBorder="1" applyFont="1">
      <alignment horizontal="left" shrinkToFit="0" vertical="bottom" wrapText="1"/>
    </xf>
    <xf borderId="11" fillId="5" fontId="8" numFmtId="0" xfId="0" applyAlignment="1" applyBorder="1" applyFont="1">
      <alignment horizontal="left" shrinkToFit="0" vertical="bottom" wrapText="0"/>
    </xf>
    <xf borderId="11" fillId="5" fontId="14" numFmtId="164" xfId="0" applyAlignment="1" applyBorder="1" applyFont="1" applyNumberFormat="1">
      <alignment horizontal="right" shrinkToFit="0" vertical="bottom" wrapText="0"/>
    </xf>
    <xf borderId="11" fillId="5" fontId="15" numFmtId="0" xfId="0" applyAlignment="1" applyBorder="1" applyFont="1">
      <alignment shrinkToFit="0" vertical="bottom" wrapText="0"/>
    </xf>
    <xf borderId="7" fillId="4" fontId="16" numFmtId="0" xfId="0" applyAlignment="1" applyBorder="1" applyFont="1">
      <alignment horizontal="left" shrinkToFit="0" vertical="center" wrapText="0"/>
    </xf>
    <xf borderId="7" fillId="4" fontId="11" numFmtId="0" xfId="0" applyAlignment="1" applyBorder="1" applyFont="1">
      <alignment horizontal="left" shrinkToFit="0" vertical="center" wrapText="1"/>
    </xf>
    <xf borderId="7" fillId="6" fontId="12" numFmtId="0" xfId="0" applyAlignment="1" applyBorder="1" applyFont="1">
      <alignment shrinkToFit="0" vertical="bottom" wrapText="0"/>
    </xf>
    <xf borderId="10" fillId="0" fontId="6" numFmtId="0" xfId="0" applyAlignment="1" applyBorder="1" applyFont="1">
      <alignment horizontal="left" shrinkToFit="0" vertical="center" wrapText="0"/>
    </xf>
    <xf borderId="10" fillId="3" fontId="7" numFmtId="165" xfId="0" applyAlignment="1" applyBorder="1" applyFont="1" applyNumberFormat="1">
      <alignment horizontal="right" shrinkToFit="0" vertical="center" wrapText="0"/>
    </xf>
    <xf borderId="7" fillId="0" fontId="2" numFmtId="0" xfId="0" applyAlignment="1" applyBorder="1" applyFont="1">
      <alignment horizontal="left" shrinkToFit="0" vertical="bottom" wrapText="1"/>
    </xf>
    <xf borderId="10" fillId="3" fontId="7" numFmtId="166" xfId="0" applyAlignment="1" applyBorder="1" applyFont="1" applyNumberFormat="1">
      <alignment horizontal="right" shrinkToFit="0" vertical="center" wrapText="0"/>
    </xf>
    <xf borderId="10" fillId="3" fontId="7" numFmtId="0" xfId="0" applyAlignment="1" applyBorder="1" applyFont="1">
      <alignment vertical="bottom"/>
    </xf>
    <xf borderId="10" fillId="3" fontId="7" numFmtId="167" xfId="0" applyAlignment="1" applyBorder="1" applyFont="1" applyNumberFormat="1">
      <alignment horizontal="right" vertical="bottom"/>
    </xf>
    <xf borderId="10" fillId="3" fontId="7" numFmtId="168" xfId="0" applyAlignment="1" applyBorder="1" applyFont="1" applyNumberFormat="1">
      <alignment horizontal="right" vertical="bottom"/>
    </xf>
    <xf borderId="10" fillId="0" fontId="9" numFmtId="165" xfId="0" applyAlignment="1" applyBorder="1" applyFont="1" applyNumberFormat="1">
      <alignment horizontal="right" shrinkToFit="0" vertical="center" wrapText="0"/>
    </xf>
    <xf borderId="10" fillId="3" fontId="7" numFmtId="9" xfId="0" applyAlignment="1" applyBorder="1" applyFont="1" applyNumberFormat="1">
      <alignment horizontal="right" readingOrder="0" shrinkToFit="0" vertical="bottom" wrapText="0"/>
    </xf>
    <xf borderId="10" fillId="3" fontId="7" numFmtId="164" xfId="0" applyAlignment="1" applyBorder="1" applyFont="1" applyNumberFormat="1">
      <alignment horizontal="right" shrinkToFit="0" vertical="bottom" wrapText="0"/>
    </xf>
    <xf borderId="10" fillId="0" fontId="9" numFmtId="164" xfId="0" applyAlignment="1" applyBorder="1" applyFont="1" applyNumberFormat="1">
      <alignment horizontal="right" shrinkToFit="0" vertical="center" wrapText="0"/>
    </xf>
    <xf borderId="10" fillId="0" fontId="9" numFmtId="167" xfId="0" applyAlignment="1" applyBorder="1" applyFont="1" applyNumberFormat="1">
      <alignment horizontal="right" shrinkToFit="0" vertical="center" wrapText="0"/>
    </xf>
    <xf borderId="10" fillId="3" fontId="7" numFmtId="166" xfId="0" applyAlignment="1" applyBorder="1" applyFont="1" applyNumberFormat="1">
      <alignment horizontal="right" shrinkToFit="0" vertical="bottom" wrapText="0"/>
    </xf>
    <xf borderId="10" fillId="3" fontId="7" numFmtId="0" xfId="0" applyAlignment="1" applyBorder="1" applyFont="1">
      <alignment horizontal="left" readingOrder="0" shrinkToFit="0" vertical="bottom" wrapText="0"/>
    </xf>
    <xf borderId="10" fillId="3" fontId="7" numFmtId="167" xfId="0" applyAlignment="1" applyBorder="1" applyFont="1" applyNumberFormat="1">
      <alignment horizontal="right" readingOrder="0" shrinkToFit="0" vertical="bottom" wrapText="0"/>
    </xf>
    <xf borderId="10" fillId="3" fontId="7" numFmtId="168" xfId="0" applyAlignment="1" applyBorder="1" applyFont="1" applyNumberFormat="1">
      <alignment horizontal="right" readingOrder="0" shrinkToFit="0" vertical="bottom" wrapText="0"/>
    </xf>
    <xf borderId="10" fillId="3" fontId="7" numFmtId="0" xfId="0" applyAlignment="1" applyBorder="1" applyFont="1">
      <alignment horizontal="left" shrinkToFit="0" vertical="bottom" wrapText="0"/>
    </xf>
    <xf borderId="10" fillId="3" fontId="7" numFmtId="167" xfId="0" applyAlignment="1" applyBorder="1" applyFont="1" applyNumberFormat="1">
      <alignment horizontal="right" shrinkToFit="0" vertical="bottom" wrapText="0"/>
    </xf>
    <xf borderId="10" fillId="3" fontId="7" numFmtId="168" xfId="0" applyAlignment="1" applyBorder="1" applyFont="1" applyNumberFormat="1">
      <alignment horizontal="right" shrinkToFit="0" vertical="bottom" wrapText="0"/>
    </xf>
    <xf borderId="11" fillId="5" fontId="8" numFmtId="165" xfId="0" applyAlignment="1" applyBorder="1" applyFont="1" applyNumberFormat="1">
      <alignment horizontal="right" shrinkToFit="0" vertical="center" wrapText="0"/>
    </xf>
    <xf borderId="11" fillId="5" fontId="8" numFmtId="164" xfId="0" applyAlignment="1" applyBorder="1" applyFont="1" applyNumberFormat="1">
      <alignment horizontal="right" shrinkToFit="0" vertical="center" wrapText="0"/>
    </xf>
    <xf borderId="11" fillId="5" fontId="8" numFmtId="167" xfId="0" applyAlignment="1" applyBorder="1" applyFont="1" applyNumberFormat="1">
      <alignment horizontal="right" shrinkToFit="0" vertical="center" wrapText="0"/>
    </xf>
    <xf borderId="11" fillId="5" fontId="8" numFmtId="0" xfId="0" applyAlignment="1" applyBorder="1" applyFont="1">
      <alignment horizontal="left" shrinkToFit="0" vertical="center" wrapText="0"/>
    </xf>
    <xf borderId="11" fillId="5" fontId="8" numFmtId="168" xfId="0" applyAlignment="1" applyBorder="1" applyFont="1" applyNumberFormat="1">
      <alignment horizontal="right" shrinkToFit="0" vertical="center" wrapText="0"/>
    </xf>
    <xf borderId="7" fillId="0" fontId="2" numFmtId="0" xfId="0" applyAlignment="1" applyBorder="1" applyFont="1">
      <alignment horizontal="left" shrinkToFit="0" vertical="bottom" wrapText="0"/>
    </xf>
    <xf borderId="10" fillId="3" fontId="7" numFmtId="168" xfId="0" applyAlignment="1" applyBorder="1" applyFont="1" applyNumberFormat="1">
      <alignment horizontal="right" readingOrder="0"/>
    </xf>
    <xf borderId="10" fillId="3" fontId="7" numFmtId="168" xfId="0" applyAlignment="1" applyBorder="1" applyFont="1" applyNumberFormat="1">
      <alignment horizontal="right" shrinkToFit="0" vertical="center" wrapText="0"/>
    </xf>
    <xf borderId="10" fillId="3" fontId="7" numFmtId="164" xfId="0" applyAlignment="1" applyBorder="1" applyFont="1" applyNumberFormat="1">
      <alignment horizontal="right" shrinkToFit="0" vertical="center" wrapText="0"/>
    </xf>
    <xf borderId="10" fillId="3" fontId="7" numFmtId="165" xfId="0" applyAlignment="1" applyBorder="1" applyFont="1" applyNumberFormat="1">
      <alignment horizontal="right" readingOrder="0" shrinkToFit="0" vertical="center" wrapText="0"/>
    </xf>
    <xf borderId="10" fillId="0" fontId="9" numFmtId="166" xfId="0" applyAlignment="1" applyBorder="1" applyFont="1" applyNumberFormat="1">
      <alignment horizontal="right" shrinkToFit="0" vertical="center" wrapText="0"/>
    </xf>
    <xf borderId="10" fillId="3" fontId="7" numFmtId="168" xfId="0" applyAlignment="1" applyBorder="1" applyFont="1" applyNumberFormat="1">
      <alignment horizontal="right"/>
    </xf>
    <xf borderId="10" fillId="3" fontId="7" numFmtId="165" xfId="0" applyAlignment="1" applyBorder="1" applyFont="1" applyNumberFormat="1">
      <alignment horizontal="right" shrinkToFit="0" vertical="bottom" wrapText="0"/>
    </xf>
    <xf borderId="11" fillId="5" fontId="8" numFmtId="164" xfId="0" applyAlignment="1" applyBorder="1" applyFont="1" applyNumberFormat="1">
      <alignment horizontal="right" shrinkToFit="0" vertical="bottom" wrapText="0"/>
    </xf>
    <xf borderId="10" fillId="3" fontId="7" numFmtId="0" xfId="0" applyAlignment="1" applyBorder="1" applyFont="1">
      <alignment horizontal="center" shrinkToFit="0" vertical="bottom" wrapText="0"/>
    </xf>
    <xf borderId="10" fillId="3" fontId="7" numFmtId="164" xfId="0" applyAlignment="1" applyBorder="1" applyFont="1" applyNumberFormat="1">
      <alignment horizontal="right" readingOrder="0" shrinkToFit="0" vertical="center" wrapText="0"/>
    </xf>
    <xf borderId="10" fillId="3" fontId="7" numFmtId="9" xfId="0" applyAlignment="1" applyBorder="1" applyFont="1" applyNumberFormat="1">
      <alignment horizontal="right" readingOrder="0" shrinkToFit="0" vertical="center" wrapText="0"/>
    </xf>
    <xf borderId="10" fillId="3" fontId="7" numFmtId="168" xfId="0" applyAlignment="1" applyBorder="1" applyFont="1" applyNumberFormat="1">
      <alignment horizontal="right" readingOrder="0" shrinkToFit="0" vertical="center" wrapText="0"/>
    </xf>
    <xf borderId="10" fillId="3" fontId="7" numFmtId="164" xfId="0" applyAlignment="1" applyBorder="1" applyFont="1" applyNumberFormat="1">
      <alignment horizontal="center" shrinkToFit="0" vertical="bottom" wrapText="0"/>
    </xf>
    <xf borderId="10" fillId="0" fontId="6" numFmtId="0" xfId="0" applyBorder="1" applyFont="1"/>
    <xf borderId="10" fillId="3" fontId="7" numFmtId="165" xfId="0" applyAlignment="1" applyBorder="1" applyFont="1" applyNumberFormat="1">
      <alignment horizontal="right"/>
    </xf>
    <xf borderId="10" fillId="0" fontId="10" numFmtId="164" xfId="0" applyAlignment="1" applyBorder="1" applyFont="1" applyNumberFormat="1">
      <alignment horizontal="right" shrinkToFit="0" vertical="center" wrapText="0"/>
    </xf>
    <xf borderId="10" fillId="0" fontId="15" numFmtId="0" xfId="0" applyBorder="1" applyFont="1"/>
    <xf borderId="10" fillId="3" fontId="15" numFmtId="164" xfId="0" applyBorder="1" applyFont="1" applyNumberFormat="1"/>
    <xf borderId="10" fillId="3" fontId="15" numFmtId="165" xfId="0" applyBorder="1" applyFont="1" applyNumberFormat="1"/>
    <xf borderId="10" fillId="3" fontId="7" numFmtId="164" xfId="0" applyAlignment="1" applyBorder="1" applyFont="1" applyNumberFormat="1">
      <alignment horizontal="right" vertical="bottom"/>
    </xf>
    <xf borderId="10" fillId="3" fontId="7" numFmtId="165" xfId="0" applyAlignment="1" applyBorder="1" applyFont="1" applyNumberFormat="1">
      <alignment horizontal="right" vertical="bottom"/>
    </xf>
    <xf borderId="10" fillId="3" fontId="7" numFmtId="167" xfId="0" applyAlignment="1" applyBorder="1" applyFont="1" applyNumberFormat="1">
      <alignment horizontal="right" readingOrder="0" shrinkToFit="0" vertical="center" wrapText="0"/>
    </xf>
    <xf borderId="11" fillId="5" fontId="14" numFmtId="164" xfId="0" applyAlignment="1" applyBorder="1" applyFont="1" applyNumberFormat="1">
      <alignment horizontal="right" shrinkToFit="0" vertical="center" wrapText="0"/>
    </xf>
    <xf borderId="10" fillId="0" fontId="17" numFmtId="0" xfId="0" applyAlignment="1" applyBorder="1" applyFont="1">
      <alignment horizontal="left" shrinkToFit="0" vertical="center" wrapText="0"/>
    </xf>
    <xf borderId="11" fillId="0" fontId="18" numFmtId="164" xfId="0" applyAlignment="1" applyBorder="1" applyFont="1" applyNumberFormat="1">
      <alignment horizontal="right" shrinkToFit="0" vertical="center" wrapText="0"/>
    </xf>
    <xf borderId="11" fillId="0" fontId="18" numFmtId="0" xfId="0" applyAlignment="1" applyBorder="1" applyFont="1">
      <alignment horizontal="center" shrinkToFit="0" vertical="center" wrapText="0"/>
    </xf>
    <xf borderId="10" fillId="0" fontId="10" numFmtId="0" xfId="0" applyAlignment="1" applyBorder="1" applyFont="1">
      <alignment horizontal="left" shrinkToFit="0" vertical="bottom" wrapText="0"/>
    </xf>
    <xf borderId="10" fillId="0" fontId="10" numFmtId="167" xfId="0" applyAlignment="1" applyBorder="1" applyFont="1" applyNumberFormat="1">
      <alignment horizontal="right" shrinkToFit="0" vertical="center" wrapText="0"/>
    </xf>
    <xf borderId="10" fillId="0" fontId="9" numFmtId="168" xfId="0" applyAlignment="1" applyBorder="1" applyFont="1" applyNumberFormat="1">
      <alignment horizontal="right" shrinkToFit="0" vertical="center" wrapText="0"/>
    </xf>
    <xf borderId="10" fillId="0" fontId="10" numFmtId="165" xfId="0" applyAlignment="1" applyBorder="1" applyFont="1" applyNumberFormat="1">
      <alignment horizontal="right" shrinkToFit="0" vertical="center" wrapText="0"/>
    </xf>
    <xf borderId="10" fillId="0" fontId="9" numFmtId="0" xfId="0" applyAlignment="1" applyBorder="1" applyFont="1">
      <alignment horizontal="left" shrinkToFit="0" vertical="bottom" wrapText="0"/>
    </xf>
    <xf borderId="10" fillId="0" fontId="2" numFmtId="0" xfId="0" applyAlignment="1" applyBorder="1" applyFont="1">
      <alignment horizontal="left" shrinkToFit="0" vertical="center" wrapText="0"/>
    </xf>
    <xf borderId="10" fillId="6" fontId="8" numFmtId="0" xfId="0" applyAlignment="1" applyBorder="1" applyFont="1">
      <alignment horizontal="center" shrinkToFit="0" vertical="center" wrapText="0"/>
    </xf>
    <xf borderId="10" fillId="6" fontId="8" numFmtId="167" xfId="0" applyAlignment="1" applyBorder="1" applyFont="1" applyNumberFormat="1">
      <alignment horizontal="center" shrinkToFit="0" vertical="center" wrapText="0"/>
    </xf>
    <xf borderId="10" fillId="6" fontId="8" numFmtId="168" xfId="0" applyAlignment="1" applyBorder="1" applyFont="1" applyNumberFormat="1">
      <alignment horizontal="center" shrinkToFit="0" vertical="center" wrapText="0"/>
    </xf>
  </cellXfs>
  <cellStyles count="1">
    <cellStyle xfId="0" name="Normal" builtinId="0"/>
  </cellStyles>
  <dxfs count="2">
    <dxf>
      <font/>
      <fill>
        <patternFill patternType="solid">
          <fgColor rgb="FFC6EFCE"/>
          <bgColor rgb="FFC6EFCE"/>
        </patternFill>
      </fill>
      <border/>
    </dxf>
    <dxf>
      <font/>
      <fill>
        <patternFill patternType="solid">
          <fgColor rgb="FFFFC7CE"/>
          <bgColor rgb="FFFFC7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8" width="16.0"/>
    <col customWidth="1" min="9" max="26" width="8.71"/>
  </cols>
  <sheetData>
    <row r="2" ht="30.0" customHeight="1">
      <c r="A2" s="1" t="s">
        <v>0</v>
      </c>
    </row>
    <row r="3">
      <c r="A3" s="2" t="s">
        <v>1</v>
      </c>
    </row>
    <row r="5" ht="30.0" customHeight="1">
      <c r="A5" s="3" t="s">
        <v>2</v>
      </c>
      <c r="B5" s="4"/>
      <c r="C5" s="4"/>
      <c r="D5" s="4"/>
      <c r="E5" s="4"/>
      <c r="F5" s="4"/>
      <c r="G5" s="4"/>
      <c r="H5" s="5"/>
    </row>
    <row r="6" ht="30.0" customHeight="1">
      <c r="A6" s="6"/>
      <c r="B6" s="7"/>
      <c r="C6" s="7"/>
      <c r="D6" s="7"/>
      <c r="E6" s="7"/>
      <c r="F6" s="7"/>
      <c r="G6" s="7"/>
      <c r="H6" s="8"/>
    </row>
    <row r="8">
      <c r="A8" s="9" t="s">
        <v>3</v>
      </c>
    </row>
    <row r="10" ht="79.5" customHeight="1">
      <c r="B10" s="10" t="s">
        <v>4</v>
      </c>
      <c r="C10" s="11"/>
      <c r="D10" s="11"/>
      <c r="E10" s="11"/>
      <c r="F10" s="11"/>
      <c r="G10" s="11"/>
      <c r="H10" s="12"/>
    </row>
    <row r="12">
      <c r="A12" s="9" t="s">
        <v>5</v>
      </c>
    </row>
    <row r="14" ht="21.75" customHeight="1">
      <c r="B14" s="13" t="s">
        <v>6</v>
      </c>
      <c r="C14" s="14" t="s">
        <v>7</v>
      </c>
      <c r="D14" s="15" t="s">
        <v>8</v>
      </c>
      <c r="E14" s="11"/>
      <c r="F14" s="11"/>
      <c r="G14" s="11"/>
      <c r="H14" s="12"/>
    </row>
    <row r="15" ht="21.75" customHeight="1">
      <c r="B15" s="16" t="s">
        <v>9</v>
      </c>
      <c r="C15" s="14" t="s">
        <v>10</v>
      </c>
      <c r="D15" s="15" t="s">
        <v>11</v>
      </c>
      <c r="E15" s="11"/>
      <c r="F15" s="11"/>
      <c r="G15" s="11"/>
      <c r="H15" s="12"/>
    </row>
    <row r="16" ht="21.75" customHeight="1">
      <c r="B16" s="17" t="s">
        <v>12</v>
      </c>
      <c r="C16" s="14" t="s">
        <v>13</v>
      </c>
      <c r="D16" s="15" t="s">
        <v>14</v>
      </c>
      <c r="E16" s="11"/>
      <c r="F16" s="11"/>
      <c r="G16" s="11"/>
      <c r="H16" s="12"/>
    </row>
    <row r="17" ht="21.75" customHeight="1">
      <c r="B17" s="18" t="s">
        <v>15</v>
      </c>
      <c r="C17" s="14" t="s">
        <v>16</v>
      </c>
      <c r="D17" s="15" t="s">
        <v>17</v>
      </c>
      <c r="E17" s="11"/>
      <c r="F17" s="11"/>
      <c r="G17" s="11"/>
      <c r="H17" s="12"/>
    </row>
    <row r="18" ht="21.75" customHeight="1">
      <c r="B18" s="19" t="s">
        <v>18</v>
      </c>
      <c r="C18" s="14" t="s">
        <v>19</v>
      </c>
      <c r="D18" s="15" t="s">
        <v>20</v>
      </c>
      <c r="E18" s="11"/>
      <c r="F18" s="11"/>
      <c r="G18" s="11"/>
      <c r="H18" s="12"/>
    </row>
    <row r="19" ht="21.75" customHeight="1">
      <c r="B19" s="20" t="s">
        <v>21</v>
      </c>
      <c r="C19" s="14" t="s">
        <v>22</v>
      </c>
      <c r="D19" s="15" t="s">
        <v>23</v>
      </c>
      <c r="E19" s="11"/>
      <c r="F19" s="11"/>
      <c r="G19" s="11"/>
      <c r="H19" s="12"/>
    </row>
    <row r="20" ht="21.75" customHeight="1">
      <c r="B20" s="21" t="s">
        <v>24</v>
      </c>
      <c r="C20" s="14" t="s">
        <v>25</v>
      </c>
      <c r="D20" s="15" t="s">
        <v>26</v>
      </c>
      <c r="E20" s="11"/>
      <c r="F20" s="11"/>
      <c r="G20" s="11"/>
      <c r="H20" s="12"/>
    </row>
    <row r="21" ht="15.75" customHeight="1"/>
    <row r="22" ht="15.75" customHeight="1"/>
    <row r="23" ht="15.75" customHeight="1">
      <c r="A23" s="9" t="s">
        <v>27</v>
      </c>
    </row>
    <row r="24" ht="15.75" customHeight="1"/>
    <row r="25" ht="21.75" customHeight="1">
      <c r="B25" s="22" t="s">
        <v>28</v>
      </c>
      <c r="C25" s="15" t="s">
        <v>29</v>
      </c>
      <c r="D25" s="11"/>
      <c r="E25" s="11"/>
      <c r="F25" s="11"/>
      <c r="G25" s="11"/>
      <c r="H25" s="12"/>
    </row>
    <row r="26" ht="21.75" customHeight="1">
      <c r="B26" s="22" t="s">
        <v>30</v>
      </c>
      <c r="C26" s="15" t="s">
        <v>31</v>
      </c>
      <c r="D26" s="11"/>
      <c r="E26" s="11"/>
      <c r="F26" s="11"/>
      <c r="G26" s="11"/>
      <c r="H26" s="12"/>
    </row>
    <row r="27" ht="21.75" customHeight="1">
      <c r="B27" s="22" t="s">
        <v>32</v>
      </c>
      <c r="C27" s="15" t="s">
        <v>33</v>
      </c>
      <c r="D27" s="11"/>
      <c r="E27" s="11"/>
      <c r="F27" s="11"/>
      <c r="G27" s="11"/>
      <c r="H27" s="12"/>
    </row>
    <row r="28" ht="21.75" customHeight="1">
      <c r="B28" s="22" t="s">
        <v>34</v>
      </c>
      <c r="C28" s="15" t="s">
        <v>35</v>
      </c>
      <c r="D28" s="11"/>
      <c r="E28" s="11"/>
      <c r="F28" s="11"/>
      <c r="G28" s="11"/>
      <c r="H28" s="12"/>
    </row>
    <row r="29" ht="21.75" customHeight="1">
      <c r="B29" s="22" t="s">
        <v>36</v>
      </c>
      <c r="C29" s="15" t="s">
        <v>37</v>
      </c>
      <c r="D29" s="11"/>
      <c r="E29" s="11"/>
      <c r="F29" s="11"/>
      <c r="G29" s="11"/>
      <c r="H29" s="12"/>
    </row>
    <row r="30" ht="21.75" customHeight="1">
      <c r="B30" s="22" t="s">
        <v>38</v>
      </c>
      <c r="C30" s="15" t="s">
        <v>39</v>
      </c>
      <c r="D30" s="11"/>
      <c r="E30" s="11"/>
      <c r="F30" s="11"/>
      <c r="G30" s="11"/>
      <c r="H30" s="12"/>
    </row>
    <row r="31" ht="15.75" customHeight="1"/>
    <row r="32" ht="15.75" customHeight="1"/>
    <row r="33" ht="15.75" customHeight="1">
      <c r="A33" s="9" t="s">
        <v>40</v>
      </c>
    </row>
    <row r="34" ht="15.75" customHeight="1"/>
    <row r="35" ht="21.75" customHeight="1">
      <c r="B35" s="23" t="s">
        <v>41</v>
      </c>
    </row>
    <row r="36" ht="21.75" customHeight="1">
      <c r="B36" s="23" t="s">
        <v>42</v>
      </c>
    </row>
    <row r="37" ht="21.75" customHeight="1">
      <c r="B37" s="23" t="s">
        <v>43</v>
      </c>
    </row>
    <row r="38" ht="21.75" customHeight="1">
      <c r="B38" s="23" t="s">
        <v>44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2:H2"/>
    <mergeCell ref="A5:H6"/>
    <mergeCell ref="B10:H10"/>
    <mergeCell ref="D14:H14"/>
    <mergeCell ref="D15:H15"/>
    <mergeCell ref="D16:H16"/>
    <mergeCell ref="D17:H17"/>
    <mergeCell ref="C29:H29"/>
    <mergeCell ref="C30:H30"/>
    <mergeCell ref="B35:H35"/>
    <mergeCell ref="B36:H36"/>
    <mergeCell ref="B37:H37"/>
    <mergeCell ref="B38:H38"/>
    <mergeCell ref="D18:H18"/>
    <mergeCell ref="D19:H19"/>
    <mergeCell ref="D20:H20"/>
    <mergeCell ref="C25:H25"/>
    <mergeCell ref="C26:H26"/>
    <mergeCell ref="C27:H27"/>
    <mergeCell ref="C28:H28"/>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32.0"/>
    <col customWidth="1" min="3" max="3" width="18.0"/>
    <col customWidth="1" min="4" max="4" width="50.0"/>
    <col customWidth="1" min="5" max="8" width="14.0"/>
    <col customWidth="1" min="9" max="26" width="8.71"/>
  </cols>
  <sheetData>
    <row r="2" ht="30.0" customHeight="1">
      <c r="A2" s="1" t="s">
        <v>45</v>
      </c>
    </row>
    <row r="3" ht="49.5" customHeight="1">
      <c r="A3" s="24" t="s">
        <v>46</v>
      </c>
      <c r="B3" s="11"/>
      <c r="C3" s="11"/>
      <c r="D3" s="11"/>
      <c r="E3" s="11"/>
      <c r="F3" s="11"/>
      <c r="G3" s="11"/>
      <c r="H3" s="12"/>
    </row>
    <row r="5" ht="36.0" customHeight="1">
      <c r="A5" s="25"/>
      <c r="B5" s="25" t="s">
        <v>47</v>
      </c>
      <c r="C5" s="25" t="s">
        <v>48</v>
      </c>
      <c r="D5" s="25" t="s">
        <v>49</v>
      </c>
    </row>
    <row r="6">
      <c r="B6" s="26" t="s">
        <v>50</v>
      </c>
      <c r="C6" s="27">
        <v>0.0</v>
      </c>
      <c r="D6" s="28" t="s">
        <v>51</v>
      </c>
    </row>
    <row r="7">
      <c r="B7" s="26" t="s">
        <v>52</v>
      </c>
      <c r="C7" s="27">
        <v>375.0</v>
      </c>
      <c r="D7" s="28" t="s">
        <v>53</v>
      </c>
    </row>
    <row r="8">
      <c r="B8" s="26" t="s">
        <v>54</v>
      </c>
      <c r="C8" s="27">
        <v>0.0</v>
      </c>
      <c r="D8" s="28" t="s">
        <v>55</v>
      </c>
    </row>
    <row r="9">
      <c r="B9" s="26" t="s">
        <v>56</v>
      </c>
      <c r="C9" s="27">
        <v>869.0</v>
      </c>
      <c r="D9" s="28" t="s">
        <v>57</v>
      </c>
    </row>
    <row r="10">
      <c r="B10" s="26" t="s">
        <v>58</v>
      </c>
      <c r="C10" s="27">
        <v>322.0</v>
      </c>
      <c r="D10" s="28" t="s">
        <v>59</v>
      </c>
    </row>
    <row r="11">
      <c r="B11" s="26" t="s">
        <v>60</v>
      </c>
      <c r="C11" s="27">
        <v>5000.0</v>
      </c>
      <c r="D11" s="28" t="s">
        <v>61</v>
      </c>
    </row>
    <row r="12">
      <c r="B12" s="26" t="s">
        <v>62</v>
      </c>
      <c r="C12" s="27">
        <v>150.0</v>
      </c>
      <c r="D12" s="28" t="s">
        <v>63</v>
      </c>
    </row>
    <row r="13">
      <c r="B13" s="26" t="s">
        <v>64</v>
      </c>
      <c r="C13" s="27">
        <v>1500.0</v>
      </c>
      <c r="D13" s="28" t="s">
        <v>65</v>
      </c>
    </row>
    <row r="14">
      <c r="B14" s="26" t="s">
        <v>66</v>
      </c>
      <c r="C14" s="27">
        <v>200.0</v>
      </c>
      <c r="D14" s="28" t="s">
        <v>67</v>
      </c>
    </row>
    <row r="15">
      <c r="B15" s="26" t="s">
        <v>68</v>
      </c>
      <c r="C15" s="27">
        <v>100.0</v>
      </c>
      <c r="D15" s="28" t="s">
        <v>69</v>
      </c>
    </row>
    <row r="16">
      <c r="B16" s="26" t="s">
        <v>70</v>
      </c>
      <c r="C16" s="27">
        <v>0.0</v>
      </c>
      <c r="D16" s="28" t="s">
        <v>71</v>
      </c>
    </row>
    <row r="17">
      <c r="B17" s="26" t="s">
        <v>72</v>
      </c>
      <c r="C17" s="27">
        <v>0.0</v>
      </c>
      <c r="D17" s="28" t="s">
        <v>73</v>
      </c>
    </row>
    <row r="18">
      <c r="B18" s="26" t="s">
        <v>74</v>
      </c>
      <c r="C18" s="27">
        <v>5000.0</v>
      </c>
      <c r="D18" s="28" t="s">
        <v>75</v>
      </c>
    </row>
    <row r="19">
      <c r="B19" s="26" t="s">
        <v>76</v>
      </c>
      <c r="C19" s="27">
        <v>3800.0</v>
      </c>
      <c r="D19" s="28" t="s">
        <v>77</v>
      </c>
    </row>
    <row r="20">
      <c r="B20" s="26" t="s">
        <v>78</v>
      </c>
      <c r="C20" s="27">
        <v>0.0</v>
      </c>
      <c r="D20" s="28"/>
    </row>
    <row r="21" ht="15.75" customHeight="1">
      <c r="B21" s="26" t="s">
        <v>79</v>
      </c>
      <c r="C21" s="27">
        <v>460.0</v>
      </c>
      <c r="D21" s="28" t="s">
        <v>80</v>
      </c>
    </row>
    <row r="22" ht="15.75" customHeight="1">
      <c r="B22" s="26" t="s">
        <v>81</v>
      </c>
      <c r="C22" s="27">
        <v>0.0</v>
      </c>
      <c r="D22" s="28" t="s">
        <v>80</v>
      </c>
    </row>
    <row r="23" ht="15.75" customHeight="1">
      <c r="B23" s="26" t="s">
        <v>82</v>
      </c>
      <c r="C23" s="27">
        <v>0.0</v>
      </c>
      <c r="D23" s="28" t="s">
        <v>80</v>
      </c>
    </row>
    <row r="24" ht="15.75" customHeight="1">
      <c r="B24" s="26" t="s">
        <v>83</v>
      </c>
      <c r="C24" s="27">
        <v>0.0</v>
      </c>
      <c r="D24" s="28" t="s">
        <v>80</v>
      </c>
    </row>
    <row r="25" ht="15.75" customHeight="1">
      <c r="B25" s="26" t="s">
        <v>84</v>
      </c>
      <c r="C25" s="27">
        <v>0.0</v>
      </c>
      <c r="D25" s="28" t="s">
        <v>80</v>
      </c>
    </row>
    <row r="26" ht="24.0" customHeight="1">
      <c r="B26" s="29" t="s">
        <v>85</v>
      </c>
      <c r="C26" s="30">
        <f>SUM(C6:C25)</f>
        <v>17776</v>
      </c>
      <c r="D26" s="3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
    <mergeCell ref="A3:H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0.0"/>
    <col customWidth="1" min="3" max="3" width="11.0"/>
    <col customWidth="1" min="4" max="4" width="9.0"/>
    <col customWidth="1" min="5" max="6" width="12.0"/>
    <col customWidth="1" min="7" max="7" width="13.0"/>
    <col customWidth="1" min="8" max="8" width="12.0"/>
    <col customWidth="1" min="9" max="9" width="13.0"/>
    <col customWidth="1" min="10" max="10" width="14.0"/>
    <col customWidth="1" min="11" max="11" width="22.0"/>
    <col customWidth="1" min="12" max="26" width="8.71"/>
  </cols>
  <sheetData>
    <row r="2" ht="30.0" customHeight="1">
      <c r="A2" s="1" t="s">
        <v>86</v>
      </c>
    </row>
    <row r="3" ht="54.75" customHeight="1">
      <c r="A3" s="24" t="s">
        <v>87</v>
      </c>
      <c r="B3" s="11"/>
      <c r="C3" s="11"/>
      <c r="D3" s="11"/>
      <c r="E3" s="11"/>
      <c r="F3" s="11"/>
      <c r="G3" s="11"/>
      <c r="H3" s="11"/>
      <c r="I3" s="11"/>
      <c r="J3" s="11"/>
      <c r="K3" s="12"/>
    </row>
    <row r="5" ht="21.75" customHeight="1">
      <c r="A5" s="32" t="s">
        <v>88</v>
      </c>
      <c r="B5" s="11"/>
      <c r="C5" s="11"/>
      <c r="D5" s="11"/>
      <c r="E5" s="11"/>
      <c r="F5" s="11"/>
      <c r="G5" s="11"/>
      <c r="H5" s="11"/>
      <c r="I5" s="11"/>
      <c r="J5" s="11"/>
      <c r="K5" s="12"/>
    </row>
    <row r="6" ht="18.0" customHeight="1">
      <c r="A6" s="33" t="s">
        <v>89</v>
      </c>
      <c r="B6" s="11"/>
      <c r="C6" s="11"/>
      <c r="D6" s="11"/>
      <c r="E6" s="11"/>
      <c r="F6" s="11"/>
      <c r="G6" s="11"/>
      <c r="H6" s="11"/>
      <c r="I6" s="11"/>
      <c r="J6" s="11"/>
      <c r="K6" s="12"/>
    </row>
    <row r="7" ht="18.0" customHeight="1">
      <c r="A7" s="33" t="s">
        <v>90</v>
      </c>
      <c r="B7" s="11"/>
      <c r="C7" s="11"/>
      <c r="D7" s="11"/>
      <c r="E7" s="11"/>
      <c r="F7" s="11"/>
      <c r="G7" s="11"/>
      <c r="H7" s="11"/>
      <c r="I7" s="11"/>
      <c r="J7" s="11"/>
      <c r="K7" s="12"/>
    </row>
    <row r="8" ht="18.0" customHeight="1">
      <c r="A8" s="33" t="s">
        <v>91</v>
      </c>
      <c r="B8" s="11"/>
      <c r="C8" s="11"/>
      <c r="D8" s="11"/>
      <c r="E8" s="11"/>
      <c r="F8" s="11"/>
      <c r="G8" s="11"/>
      <c r="H8" s="11"/>
      <c r="I8" s="11"/>
      <c r="J8" s="11"/>
      <c r="K8" s="12"/>
    </row>
    <row r="9" ht="18.0" customHeight="1">
      <c r="A9" s="33" t="s">
        <v>92</v>
      </c>
      <c r="B9" s="11"/>
      <c r="C9" s="11"/>
      <c r="D9" s="11"/>
      <c r="E9" s="11"/>
      <c r="F9" s="11"/>
      <c r="G9" s="11"/>
      <c r="H9" s="11"/>
      <c r="I9" s="11"/>
      <c r="J9" s="11"/>
      <c r="K9" s="12"/>
    </row>
    <row r="10" ht="18.0" customHeight="1">
      <c r="A10" s="33" t="s">
        <v>93</v>
      </c>
      <c r="B10" s="11"/>
      <c r="C10" s="11"/>
      <c r="D10" s="11"/>
      <c r="E10" s="11"/>
      <c r="F10" s="11"/>
      <c r="G10" s="11"/>
      <c r="H10" s="11"/>
      <c r="I10" s="11"/>
      <c r="J10" s="11"/>
      <c r="K10" s="12"/>
    </row>
    <row r="11" ht="18.0" customHeight="1">
      <c r="A11" s="33" t="s">
        <v>94</v>
      </c>
      <c r="B11" s="11"/>
      <c r="C11" s="11"/>
      <c r="D11" s="11"/>
      <c r="E11" s="11"/>
      <c r="F11" s="11"/>
      <c r="G11" s="11"/>
      <c r="H11" s="11"/>
      <c r="I11" s="11"/>
      <c r="J11" s="11"/>
      <c r="K11" s="12"/>
    </row>
    <row r="12" ht="18.0" customHeight="1">
      <c r="A12" s="33" t="s">
        <v>95</v>
      </c>
      <c r="B12" s="11"/>
      <c r="C12" s="11"/>
      <c r="D12" s="11"/>
      <c r="E12" s="11"/>
      <c r="F12" s="11"/>
      <c r="G12" s="11"/>
      <c r="H12" s="11"/>
      <c r="I12" s="11"/>
      <c r="J12" s="11"/>
      <c r="K12" s="12"/>
    </row>
    <row r="14" ht="24.0" customHeight="1">
      <c r="A14" s="34" t="s">
        <v>96</v>
      </c>
      <c r="B14" s="11"/>
      <c r="C14" s="11"/>
      <c r="D14" s="11"/>
      <c r="E14" s="11"/>
      <c r="F14" s="11"/>
      <c r="G14" s="11"/>
      <c r="H14" s="11"/>
      <c r="I14" s="11"/>
      <c r="J14" s="11"/>
      <c r="K14" s="12"/>
    </row>
    <row r="15" ht="15.0" customHeight="1">
      <c r="B15" s="35" t="s">
        <v>97</v>
      </c>
      <c r="C15" s="36">
        <v>4.333</v>
      </c>
      <c r="D15" s="37" t="s">
        <v>98</v>
      </c>
      <c r="E15" s="11"/>
      <c r="F15" s="11"/>
      <c r="G15" s="11"/>
      <c r="H15" s="11"/>
      <c r="I15" s="11"/>
      <c r="J15" s="11"/>
      <c r="K15" s="12"/>
    </row>
    <row r="16" ht="15.0" customHeight="1">
      <c r="B16" s="35" t="s">
        <v>99</v>
      </c>
      <c r="C16" s="38">
        <v>0.1</v>
      </c>
      <c r="D16" s="37" t="s">
        <v>100</v>
      </c>
      <c r="E16" s="11"/>
      <c r="F16" s="11"/>
      <c r="G16" s="11"/>
      <c r="H16" s="11"/>
      <c r="I16" s="11"/>
      <c r="J16" s="11"/>
      <c r="K16" s="12"/>
    </row>
    <row r="17" ht="15.0" customHeight="1">
      <c r="B17" s="35" t="s">
        <v>101</v>
      </c>
      <c r="C17" s="38">
        <v>0.12</v>
      </c>
      <c r="D17" s="37" t="s">
        <v>102</v>
      </c>
      <c r="E17" s="11"/>
      <c r="F17" s="11"/>
      <c r="G17" s="11"/>
      <c r="H17" s="11"/>
      <c r="I17" s="11"/>
      <c r="J17" s="11"/>
      <c r="K17" s="12"/>
    </row>
    <row r="18" ht="15.0" customHeight="1">
      <c r="B18" s="35" t="s">
        <v>103</v>
      </c>
      <c r="C18" s="38">
        <v>0.6</v>
      </c>
      <c r="D18" s="37" t="s">
        <v>104</v>
      </c>
      <c r="E18" s="11"/>
      <c r="F18" s="11"/>
      <c r="G18" s="11"/>
      <c r="H18" s="11"/>
      <c r="I18" s="11"/>
      <c r="J18" s="11"/>
      <c r="K18" s="12"/>
    </row>
    <row r="20" ht="24.0" customHeight="1">
      <c r="A20" s="34" t="s">
        <v>105</v>
      </c>
      <c r="B20" s="11"/>
      <c r="C20" s="11"/>
      <c r="D20" s="11"/>
      <c r="E20" s="11"/>
      <c r="F20" s="11"/>
      <c r="G20" s="11"/>
      <c r="H20" s="11"/>
      <c r="I20" s="11"/>
      <c r="J20" s="11"/>
      <c r="K20" s="12"/>
    </row>
    <row r="21" ht="36.0" customHeight="1">
      <c r="A21" s="25"/>
      <c r="B21" s="25" t="s">
        <v>106</v>
      </c>
      <c r="C21" s="25" t="s">
        <v>107</v>
      </c>
      <c r="D21" s="25" t="s">
        <v>108</v>
      </c>
      <c r="E21" s="25" t="s">
        <v>109</v>
      </c>
      <c r="F21" s="25" t="s">
        <v>110</v>
      </c>
      <c r="G21" s="25" t="s">
        <v>111</v>
      </c>
      <c r="H21" s="25" t="s">
        <v>112</v>
      </c>
      <c r="I21" s="25" t="s">
        <v>113</v>
      </c>
      <c r="J21" s="25" t="s">
        <v>114</v>
      </c>
      <c r="K21" s="25" t="s">
        <v>49</v>
      </c>
    </row>
    <row r="22" ht="15.75" customHeight="1">
      <c r="B22" s="39" t="s">
        <v>115</v>
      </c>
      <c r="C22" s="40">
        <v>30.0</v>
      </c>
      <c r="D22" s="41">
        <v>40.0</v>
      </c>
      <c r="E22" s="42">
        <f t="shared" ref="E22:E33" si="1">IF(B22="","",D22*$C$15)</f>
        <v>173.32</v>
      </c>
      <c r="F22" s="43">
        <v>0.6</v>
      </c>
      <c r="G22" s="42">
        <f t="shared" ref="G22:G33" si="2">IF(B22="","",E22*IF(F22="",$C$18,F22))</f>
        <v>103.992</v>
      </c>
      <c r="H22" s="44">
        <v>0.0</v>
      </c>
      <c r="I22" s="45">
        <f t="shared" ref="I22:I33" si="3">IF(B22="","",(E22*C22)*(1+$C$16+$C$17)+IF(H22="",0,H22))</f>
        <v>6343.512</v>
      </c>
      <c r="J22" s="46">
        <f t="shared" ref="J22:J33" si="4">IF(OR(B22="",G22=0),"",I22/G22)</f>
        <v>61</v>
      </c>
      <c r="K22" s="28" t="s">
        <v>116</v>
      </c>
    </row>
    <row r="23" ht="15.75" customHeight="1">
      <c r="B23" s="39" t="s">
        <v>117</v>
      </c>
      <c r="C23" s="40">
        <v>25.0</v>
      </c>
      <c r="D23" s="41">
        <v>40.0</v>
      </c>
      <c r="E23" s="42">
        <f t="shared" si="1"/>
        <v>173.32</v>
      </c>
      <c r="F23" s="43">
        <v>0.6</v>
      </c>
      <c r="G23" s="42">
        <f t="shared" si="2"/>
        <v>103.992</v>
      </c>
      <c r="H23" s="44">
        <v>0.0</v>
      </c>
      <c r="I23" s="45">
        <f t="shared" si="3"/>
        <v>5286.26</v>
      </c>
      <c r="J23" s="46">
        <f t="shared" si="4"/>
        <v>50.83333333</v>
      </c>
      <c r="K23" s="28" t="s">
        <v>118</v>
      </c>
    </row>
    <row r="24" ht="15.75" customHeight="1">
      <c r="B24" s="39" t="s">
        <v>119</v>
      </c>
      <c r="C24" s="40">
        <v>23.0</v>
      </c>
      <c r="D24" s="41">
        <v>25.0</v>
      </c>
      <c r="E24" s="42">
        <f t="shared" si="1"/>
        <v>108.325</v>
      </c>
      <c r="F24" s="47">
        <v>0.5</v>
      </c>
      <c r="G24" s="42">
        <f t="shared" si="2"/>
        <v>54.1625</v>
      </c>
      <c r="H24" s="44">
        <v>0.0</v>
      </c>
      <c r="I24" s="45">
        <f t="shared" si="3"/>
        <v>3039.5995</v>
      </c>
      <c r="J24" s="46">
        <f t="shared" si="4"/>
        <v>56.12</v>
      </c>
      <c r="K24" s="28" t="s">
        <v>120</v>
      </c>
    </row>
    <row r="25" ht="15.75" customHeight="1">
      <c r="B25" s="48" t="s">
        <v>119</v>
      </c>
      <c r="C25" s="49">
        <v>27.0</v>
      </c>
      <c r="D25" s="50">
        <v>40.0</v>
      </c>
      <c r="E25" s="42">
        <f t="shared" si="1"/>
        <v>173.32</v>
      </c>
      <c r="F25" s="47"/>
      <c r="G25" s="42">
        <f t="shared" si="2"/>
        <v>103.992</v>
      </c>
      <c r="H25" s="44"/>
      <c r="I25" s="45">
        <f t="shared" si="3"/>
        <v>5709.1608</v>
      </c>
      <c r="J25" s="46">
        <f t="shared" si="4"/>
        <v>54.9</v>
      </c>
      <c r="K25" s="28"/>
    </row>
    <row r="26" ht="15.75" customHeight="1">
      <c r="B26" s="51"/>
      <c r="C26" s="52"/>
      <c r="D26" s="53"/>
      <c r="E26" s="42" t="str">
        <f t="shared" si="1"/>
        <v/>
      </c>
      <c r="F26" s="47"/>
      <c r="G26" s="42" t="str">
        <f t="shared" si="2"/>
        <v/>
      </c>
      <c r="H26" s="44"/>
      <c r="I26" s="45" t="str">
        <f t="shared" si="3"/>
        <v/>
      </c>
      <c r="J26" s="46" t="str">
        <f t="shared" si="4"/>
        <v/>
      </c>
      <c r="K26" s="28"/>
    </row>
    <row r="27" ht="15.75" customHeight="1">
      <c r="B27" s="51"/>
      <c r="C27" s="52"/>
      <c r="D27" s="53"/>
      <c r="E27" s="42" t="str">
        <f t="shared" si="1"/>
        <v/>
      </c>
      <c r="F27" s="47"/>
      <c r="G27" s="42" t="str">
        <f t="shared" si="2"/>
        <v/>
      </c>
      <c r="H27" s="44"/>
      <c r="I27" s="45" t="str">
        <f t="shared" si="3"/>
        <v/>
      </c>
      <c r="J27" s="46" t="str">
        <f t="shared" si="4"/>
        <v/>
      </c>
      <c r="K27" s="28"/>
    </row>
    <row r="28" ht="15.75" customHeight="1">
      <c r="B28" s="51"/>
      <c r="C28" s="52"/>
      <c r="D28" s="53"/>
      <c r="E28" s="42" t="str">
        <f t="shared" si="1"/>
        <v/>
      </c>
      <c r="F28" s="47"/>
      <c r="G28" s="42" t="str">
        <f t="shared" si="2"/>
        <v/>
      </c>
      <c r="H28" s="44"/>
      <c r="I28" s="45" t="str">
        <f t="shared" si="3"/>
        <v/>
      </c>
      <c r="J28" s="46" t="str">
        <f t="shared" si="4"/>
        <v/>
      </c>
      <c r="K28" s="28"/>
    </row>
    <row r="29" ht="15.75" customHeight="1">
      <c r="B29" s="51"/>
      <c r="C29" s="52"/>
      <c r="D29" s="53"/>
      <c r="E29" s="42" t="str">
        <f t="shared" si="1"/>
        <v/>
      </c>
      <c r="F29" s="47"/>
      <c r="G29" s="42" t="str">
        <f t="shared" si="2"/>
        <v/>
      </c>
      <c r="H29" s="44"/>
      <c r="I29" s="45" t="str">
        <f t="shared" si="3"/>
        <v/>
      </c>
      <c r="J29" s="46" t="str">
        <f t="shared" si="4"/>
        <v/>
      </c>
      <c r="K29" s="28"/>
    </row>
    <row r="30" ht="15.75" customHeight="1">
      <c r="B30" s="51"/>
      <c r="C30" s="52"/>
      <c r="D30" s="53"/>
      <c r="E30" s="42" t="str">
        <f t="shared" si="1"/>
        <v/>
      </c>
      <c r="F30" s="47"/>
      <c r="G30" s="42" t="str">
        <f t="shared" si="2"/>
        <v/>
      </c>
      <c r="H30" s="44"/>
      <c r="I30" s="45" t="str">
        <f t="shared" si="3"/>
        <v/>
      </c>
      <c r="J30" s="46" t="str">
        <f t="shared" si="4"/>
        <v/>
      </c>
      <c r="K30" s="28"/>
    </row>
    <row r="31" ht="15.75" customHeight="1">
      <c r="B31" s="51"/>
      <c r="C31" s="52"/>
      <c r="D31" s="53"/>
      <c r="E31" s="42" t="str">
        <f t="shared" si="1"/>
        <v/>
      </c>
      <c r="F31" s="47"/>
      <c r="G31" s="42" t="str">
        <f t="shared" si="2"/>
        <v/>
      </c>
      <c r="H31" s="44"/>
      <c r="I31" s="45" t="str">
        <f t="shared" si="3"/>
        <v/>
      </c>
      <c r="J31" s="46" t="str">
        <f t="shared" si="4"/>
        <v/>
      </c>
      <c r="K31" s="28"/>
    </row>
    <row r="32" ht="15.75" customHeight="1">
      <c r="B32" s="51"/>
      <c r="C32" s="52"/>
      <c r="D32" s="53"/>
      <c r="E32" s="42" t="str">
        <f t="shared" si="1"/>
        <v/>
      </c>
      <c r="F32" s="47"/>
      <c r="G32" s="42" t="str">
        <f t="shared" si="2"/>
        <v/>
      </c>
      <c r="H32" s="44"/>
      <c r="I32" s="45" t="str">
        <f t="shared" si="3"/>
        <v/>
      </c>
      <c r="J32" s="46" t="str">
        <f t="shared" si="4"/>
        <v/>
      </c>
      <c r="K32" s="28"/>
    </row>
    <row r="33" ht="15.75" customHeight="1">
      <c r="B33" s="51"/>
      <c r="C33" s="52"/>
      <c r="D33" s="53"/>
      <c r="E33" s="42" t="str">
        <f t="shared" si="1"/>
        <v/>
      </c>
      <c r="F33" s="47"/>
      <c r="G33" s="42" t="str">
        <f t="shared" si="2"/>
        <v/>
      </c>
      <c r="H33" s="44"/>
      <c r="I33" s="45" t="str">
        <f t="shared" si="3"/>
        <v/>
      </c>
      <c r="J33" s="46" t="str">
        <f t="shared" si="4"/>
        <v/>
      </c>
      <c r="K33" s="28"/>
    </row>
    <row r="34" ht="24.0" customHeight="1">
      <c r="B34" s="29" t="s">
        <v>121</v>
      </c>
      <c r="C34" s="31"/>
      <c r="D34" s="31"/>
      <c r="E34" s="54">
        <f>SUM(E22:E33)</f>
        <v>628.285</v>
      </c>
      <c r="F34" s="31"/>
      <c r="G34" s="54">
        <f t="shared" ref="G34:I34" si="5">SUM(G22:G33)</f>
        <v>366.1385</v>
      </c>
      <c r="H34" s="55">
        <f t="shared" si="5"/>
        <v>0</v>
      </c>
      <c r="I34" s="55">
        <f t="shared" si="5"/>
        <v>20378.5323</v>
      </c>
      <c r="J34" s="56">
        <f>IFERROR(I34/G34,0)</f>
        <v>55.65798817</v>
      </c>
      <c r="K34" s="31"/>
    </row>
    <row r="35" ht="15.75" customHeight="1"/>
    <row r="36" ht="24.0" customHeight="1">
      <c r="A36" s="34" t="s">
        <v>122</v>
      </c>
      <c r="B36" s="11"/>
      <c r="C36" s="11"/>
      <c r="D36" s="11"/>
      <c r="E36" s="11"/>
      <c r="F36" s="11"/>
      <c r="G36" s="11"/>
      <c r="H36" s="11"/>
      <c r="I36" s="11"/>
      <c r="J36" s="11"/>
      <c r="K36" s="12"/>
    </row>
    <row r="37" ht="15.75" customHeight="1">
      <c r="B37" s="57" t="s">
        <v>123</v>
      </c>
      <c r="C37" s="58">
        <f>COUNTA(B22:B33)</f>
        <v>4</v>
      </c>
      <c r="D37" s="59" t="s">
        <v>124</v>
      </c>
      <c r="E37" s="11"/>
      <c r="F37" s="11"/>
      <c r="G37" s="11"/>
      <c r="H37" s="11"/>
      <c r="I37" s="11"/>
      <c r="J37" s="11"/>
      <c r="K37" s="12"/>
    </row>
    <row r="38" ht="15.75" customHeight="1">
      <c r="B38" s="57" t="s">
        <v>125</v>
      </c>
      <c r="C38" s="55">
        <f>'2. Labor'!$I$34</f>
        <v>20378.5323</v>
      </c>
      <c r="D38" s="59" t="s">
        <v>126</v>
      </c>
      <c r="E38" s="11"/>
      <c r="F38" s="11"/>
      <c r="G38" s="11"/>
      <c r="H38" s="11"/>
      <c r="I38" s="11"/>
      <c r="J38" s="11"/>
      <c r="K38" s="12"/>
    </row>
    <row r="39" ht="15.75" customHeight="1">
      <c r="B39" s="57" t="s">
        <v>127</v>
      </c>
      <c r="C39" s="54">
        <f>'2. Labor'!$G$34</f>
        <v>366.1385</v>
      </c>
      <c r="D39" s="59" t="s">
        <v>128</v>
      </c>
      <c r="E39" s="11"/>
      <c r="F39" s="11"/>
      <c r="G39" s="11"/>
      <c r="H39" s="11"/>
      <c r="I39" s="11"/>
      <c r="J39" s="11"/>
      <c r="K39" s="12"/>
    </row>
    <row r="40" ht="15.75" customHeight="1">
      <c r="B40" s="57" t="s">
        <v>129</v>
      </c>
      <c r="C40" s="56">
        <f>'2. Labor'!$J$34</f>
        <v>55.65798817</v>
      </c>
      <c r="D40" s="59" t="s">
        <v>130</v>
      </c>
      <c r="E40" s="11"/>
      <c r="F40" s="11"/>
      <c r="G40" s="11"/>
      <c r="H40" s="11"/>
      <c r="I40" s="11"/>
      <c r="J40" s="11"/>
      <c r="K40" s="1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2:K2"/>
    <mergeCell ref="A3:K3"/>
    <mergeCell ref="A5:K5"/>
    <mergeCell ref="A6:K6"/>
    <mergeCell ref="A7:K7"/>
    <mergeCell ref="A8:K8"/>
    <mergeCell ref="A9:K9"/>
    <mergeCell ref="D18:K18"/>
    <mergeCell ref="A20:K20"/>
    <mergeCell ref="A36:K36"/>
    <mergeCell ref="D37:K37"/>
    <mergeCell ref="D38:K38"/>
    <mergeCell ref="D39:K39"/>
    <mergeCell ref="D40:K40"/>
    <mergeCell ref="A10:K10"/>
    <mergeCell ref="A11:K11"/>
    <mergeCell ref="A12:K12"/>
    <mergeCell ref="A14:K14"/>
    <mergeCell ref="D15:K15"/>
    <mergeCell ref="D16:K16"/>
    <mergeCell ref="D17:K17"/>
  </mergeCell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4.0"/>
    <col customWidth="1" min="3" max="3" width="10.0"/>
    <col customWidth="1" min="4" max="4" width="13.0"/>
    <col customWidth="1" min="5" max="5" width="11.0"/>
    <col customWidth="1" min="6" max="6" width="12.0"/>
    <col customWidth="1" min="7" max="7" width="14.0"/>
    <col customWidth="1" min="8" max="8" width="12.0"/>
    <col customWidth="1" min="9" max="9" width="13.0"/>
    <col customWidth="1" min="10" max="10" width="12.0"/>
    <col customWidth="1" min="11" max="11" width="13.0"/>
    <col customWidth="1" min="12" max="12" width="11.0"/>
    <col customWidth="1" min="13" max="13" width="13.0"/>
    <col customWidth="1" min="14" max="26" width="8.71"/>
  </cols>
  <sheetData>
    <row r="2" ht="30.0" customHeight="1">
      <c r="A2" s="1" t="s">
        <v>131</v>
      </c>
    </row>
    <row r="3" ht="54.75" customHeight="1">
      <c r="A3" s="24" t="s">
        <v>132</v>
      </c>
      <c r="B3" s="11"/>
      <c r="C3" s="11"/>
      <c r="D3" s="11"/>
      <c r="E3" s="11"/>
      <c r="F3" s="11"/>
      <c r="G3" s="11"/>
      <c r="H3" s="11"/>
      <c r="I3" s="11"/>
      <c r="J3" s="11"/>
      <c r="K3" s="11"/>
      <c r="L3" s="11"/>
      <c r="M3" s="12"/>
    </row>
    <row r="5" ht="21.75" customHeight="1">
      <c r="A5" s="32" t="s">
        <v>133</v>
      </c>
      <c r="B5" s="11"/>
      <c r="C5" s="11"/>
      <c r="D5" s="11"/>
      <c r="E5" s="11"/>
      <c r="F5" s="11"/>
      <c r="G5" s="11"/>
      <c r="H5" s="11"/>
      <c r="I5" s="11"/>
      <c r="J5" s="11"/>
      <c r="K5" s="11"/>
      <c r="L5" s="11"/>
      <c r="M5" s="12"/>
    </row>
    <row r="6" ht="18.0" customHeight="1">
      <c r="A6" s="33" t="s">
        <v>134</v>
      </c>
      <c r="B6" s="11"/>
      <c r="C6" s="11"/>
      <c r="D6" s="11"/>
      <c r="E6" s="11"/>
      <c r="F6" s="11"/>
      <c r="G6" s="11"/>
      <c r="H6" s="11"/>
      <c r="I6" s="11"/>
      <c r="J6" s="11"/>
      <c r="K6" s="11"/>
      <c r="L6" s="11"/>
      <c r="M6" s="12"/>
    </row>
    <row r="7" ht="18.0" customHeight="1">
      <c r="A7" s="33" t="s">
        <v>135</v>
      </c>
      <c r="B7" s="11"/>
      <c r="C7" s="11"/>
      <c r="D7" s="11"/>
      <c r="E7" s="11"/>
      <c r="F7" s="11"/>
      <c r="G7" s="11"/>
      <c r="H7" s="11"/>
      <c r="I7" s="11"/>
      <c r="J7" s="11"/>
      <c r="K7" s="11"/>
      <c r="L7" s="11"/>
      <c r="M7" s="12"/>
    </row>
    <row r="8" ht="18.0" customHeight="1">
      <c r="A8" s="33" t="s">
        <v>136</v>
      </c>
      <c r="B8" s="11"/>
      <c r="C8" s="11"/>
      <c r="D8" s="11"/>
      <c r="E8" s="11"/>
      <c r="F8" s="11"/>
      <c r="G8" s="11"/>
      <c r="H8" s="11"/>
      <c r="I8" s="11"/>
      <c r="J8" s="11"/>
      <c r="K8" s="11"/>
      <c r="L8" s="11"/>
      <c r="M8" s="12"/>
    </row>
    <row r="9" ht="18.0" customHeight="1">
      <c r="A9" s="33" t="s">
        <v>137</v>
      </c>
      <c r="B9" s="11"/>
      <c r="C9" s="11"/>
      <c r="D9" s="11"/>
      <c r="E9" s="11"/>
      <c r="F9" s="11"/>
      <c r="G9" s="11"/>
      <c r="H9" s="11"/>
      <c r="I9" s="11"/>
      <c r="J9" s="11"/>
      <c r="K9" s="11"/>
      <c r="L9" s="11"/>
      <c r="M9" s="12"/>
    </row>
    <row r="10" ht="18.0" customHeight="1">
      <c r="A10" s="33" t="s">
        <v>138</v>
      </c>
      <c r="B10" s="11"/>
      <c r="C10" s="11"/>
      <c r="D10" s="11"/>
      <c r="E10" s="11"/>
      <c r="F10" s="11"/>
      <c r="G10" s="11"/>
      <c r="H10" s="11"/>
      <c r="I10" s="11"/>
      <c r="J10" s="11"/>
      <c r="K10" s="11"/>
      <c r="L10" s="11"/>
      <c r="M10" s="12"/>
    </row>
    <row r="11" ht="18.0" customHeight="1">
      <c r="A11" s="33" t="s">
        <v>139</v>
      </c>
      <c r="B11" s="11"/>
      <c r="C11" s="11"/>
      <c r="D11" s="11"/>
      <c r="E11" s="11"/>
      <c r="F11" s="11"/>
      <c r="G11" s="11"/>
      <c r="H11" s="11"/>
      <c r="I11" s="11"/>
      <c r="J11" s="11"/>
      <c r="K11" s="11"/>
      <c r="L11" s="11"/>
      <c r="M11" s="12"/>
    </row>
    <row r="12" ht="18.0" customHeight="1">
      <c r="A12" s="33" t="s">
        <v>140</v>
      </c>
      <c r="B12" s="11"/>
      <c r="C12" s="11"/>
      <c r="D12" s="11"/>
      <c r="E12" s="11"/>
      <c r="F12" s="11"/>
      <c r="G12" s="11"/>
      <c r="H12" s="11"/>
      <c r="I12" s="11"/>
      <c r="J12" s="11"/>
      <c r="K12" s="11"/>
      <c r="L12" s="11"/>
      <c r="M12" s="12"/>
    </row>
    <row r="13" ht="18.0" customHeight="1">
      <c r="A13" s="33" t="s">
        <v>141</v>
      </c>
      <c r="B13" s="11"/>
      <c r="C13" s="11"/>
      <c r="D13" s="11"/>
      <c r="E13" s="11"/>
      <c r="F13" s="11"/>
      <c r="G13" s="11"/>
      <c r="H13" s="11"/>
      <c r="I13" s="11"/>
      <c r="J13" s="11"/>
      <c r="K13" s="11"/>
      <c r="L13" s="11"/>
      <c r="M13" s="12"/>
    </row>
    <row r="15" ht="36.0" customHeight="1">
      <c r="A15" s="25"/>
      <c r="B15" s="25" t="s">
        <v>142</v>
      </c>
      <c r="C15" s="25" t="s">
        <v>143</v>
      </c>
      <c r="D15" s="25" t="s">
        <v>144</v>
      </c>
      <c r="E15" s="25" t="s">
        <v>145</v>
      </c>
      <c r="F15" s="25" t="s">
        <v>146</v>
      </c>
      <c r="G15" s="25" t="s">
        <v>147</v>
      </c>
      <c r="H15" s="25" t="s">
        <v>148</v>
      </c>
      <c r="I15" s="25" t="s">
        <v>149</v>
      </c>
      <c r="J15" s="25" t="s">
        <v>150</v>
      </c>
      <c r="K15" s="25" t="s">
        <v>151</v>
      </c>
      <c r="L15" s="25" t="s">
        <v>152</v>
      </c>
      <c r="M15" s="25" t="s">
        <v>153</v>
      </c>
    </row>
    <row r="16">
      <c r="B16" s="35" t="s">
        <v>154</v>
      </c>
      <c r="C16" s="60">
        <v>36.0</v>
      </c>
      <c r="D16" s="27">
        <v>219.0</v>
      </c>
      <c r="E16" s="61">
        <v>60.0</v>
      </c>
      <c r="F16" s="62">
        <v>37.0</v>
      </c>
      <c r="G16" s="63">
        <v>375.0</v>
      </c>
      <c r="H16" s="62">
        <v>5.0</v>
      </c>
      <c r="I16" s="45">
        <f t="shared" ref="I16:I35" si="1">IF(C16="","",F16*G16)</f>
        <v>13875</v>
      </c>
      <c r="J16" s="45">
        <f t="shared" ref="J16:J35" si="2">IF(C16="","",C16*(IFERROR(D16/E16,0)+H16))</f>
        <v>311.4</v>
      </c>
      <c r="K16" s="45">
        <f t="shared" ref="K16:K35" si="3">IF(C16="","",I16-J16)</f>
        <v>13563.6</v>
      </c>
      <c r="L16" s="64">
        <f t="shared" ref="L16:L35" si="4">IF(OR(C16="",C16=0),"",G16/(C16*30))</f>
        <v>0.3472222222</v>
      </c>
      <c r="M16" s="46">
        <f t="shared" ref="M16:M35" si="5">IF(OR(C16="",G16=0),"",K16/G16)</f>
        <v>36.1696</v>
      </c>
    </row>
    <row r="17">
      <c r="B17" s="35" t="s">
        <v>155</v>
      </c>
      <c r="C17" s="65">
        <v>7.0</v>
      </c>
      <c r="D17" s="27">
        <v>900.0</v>
      </c>
      <c r="E17" s="61">
        <v>84.0</v>
      </c>
      <c r="F17" s="62">
        <v>110.0</v>
      </c>
      <c r="G17" s="63">
        <v>105.0</v>
      </c>
      <c r="H17" s="62">
        <v>25.0</v>
      </c>
      <c r="I17" s="45">
        <f t="shared" si="1"/>
        <v>11550</v>
      </c>
      <c r="J17" s="45">
        <f t="shared" si="2"/>
        <v>250</v>
      </c>
      <c r="K17" s="45">
        <f t="shared" si="3"/>
        <v>11300</v>
      </c>
      <c r="L17" s="64">
        <f t="shared" si="4"/>
        <v>0.5</v>
      </c>
      <c r="M17" s="46">
        <f t="shared" si="5"/>
        <v>107.6190476</v>
      </c>
    </row>
    <row r="18">
      <c r="B18" s="35" t="s">
        <v>156</v>
      </c>
      <c r="C18" s="65">
        <v>4.0</v>
      </c>
      <c r="D18" s="27">
        <v>450.0</v>
      </c>
      <c r="E18" s="61">
        <v>72.0</v>
      </c>
      <c r="F18" s="62">
        <v>110.0</v>
      </c>
      <c r="G18" s="63">
        <v>105.0</v>
      </c>
      <c r="H18" s="62">
        <v>20.0</v>
      </c>
      <c r="I18" s="45">
        <f t="shared" si="1"/>
        <v>11550</v>
      </c>
      <c r="J18" s="45">
        <f t="shared" si="2"/>
        <v>105</v>
      </c>
      <c r="K18" s="45">
        <f t="shared" si="3"/>
        <v>11445</v>
      </c>
      <c r="L18" s="64">
        <f t="shared" si="4"/>
        <v>0.875</v>
      </c>
      <c r="M18" s="46">
        <f t="shared" si="5"/>
        <v>109</v>
      </c>
    </row>
    <row r="19">
      <c r="B19" s="35" t="s">
        <v>157</v>
      </c>
      <c r="C19" s="65">
        <v>1.0</v>
      </c>
      <c r="D19" s="27">
        <v>3500.0</v>
      </c>
      <c r="E19" s="61">
        <v>84.0</v>
      </c>
      <c r="F19" s="62">
        <v>225.0</v>
      </c>
      <c r="G19" s="63">
        <v>5.0</v>
      </c>
      <c r="H19" s="62">
        <v>50.0</v>
      </c>
      <c r="I19" s="45">
        <f t="shared" si="1"/>
        <v>1125</v>
      </c>
      <c r="J19" s="45">
        <f t="shared" si="2"/>
        <v>91.66666667</v>
      </c>
      <c r="K19" s="45">
        <f t="shared" si="3"/>
        <v>1033.333333</v>
      </c>
      <c r="L19" s="64">
        <f t="shared" si="4"/>
        <v>0.1666666667</v>
      </c>
      <c r="M19" s="46">
        <f t="shared" si="5"/>
        <v>206.6666667</v>
      </c>
    </row>
    <row r="20">
      <c r="B20" s="35"/>
      <c r="C20" s="53"/>
      <c r="D20" s="44"/>
      <c r="E20" s="53"/>
      <c r="F20" s="44"/>
      <c r="G20" s="66"/>
      <c r="H20" s="44"/>
      <c r="I20" s="45" t="str">
        <f t="shared" si="1"/>
        <v/>
      </c>
      <c r="J20" s="45" t="str">
        <f t="shared" si="2"/>
        <v/>
      </c>
      <c r="K20" s="45" t="str">
        <f t="shared" si="3"/>
        <v/>
      </c>
      <c r="L20" s="64" t="str">
        <f t="shared" si="4"/>
        <v/>
      </c>
      <c r="M20" s="46" t="str">
        <f t="shared" si="5"/>
        <v/>
      </c>
    </row>
    <row r="21" ht="15.75" customHeight="1">
      <c r="B21" s="35"/>
      <c r="C21" s="53"/>
      <c r="D21" s="44"/>
      <c r="E21" s="53"/>
      <c r="F21" s="44"/>
      <c r="G21" s="66"/>
      <c r="H21" s="44"/>
      <c r="I21" s="45" t="str">
        <f t="shared" si="1"/>
        <v/>
      </c>
      <c r="J21" s="45" t="str">
        <f t="shared" si="2"/>
        <v/>
      </c>
      <c r="K21" s="45" t="str">
        <f t="shared" si="3"/>
        <v/>
      </c>
      <c r="L21" s="64" t="str">
        <f t="shared" si="4"/>
        <v/>
      </c>
      <c r="M21" s="46" t="str">
        <f t="shared" si="5"/>
        <v/>
      </c>
    </row>
    <row r="22" ht="15.75" customHeight="1">
      <c r="B22" s="35"/>
      <c r="C22" s="53"/>
      <c r="D22" s="44"/>
      <c r="E22" s="53"/>
      <c r="F22" s="44"/>
      <c r="G22" s="66"/>
      <c r="H22" s="44"/>
      <c r="I22" s="45" t="str">
        <f t="shared" si="1"/>
        <v/>
      </c>
      <c r="J22" s="45" t="str">
        <f t="shared" si="2"/>
        <v/>
      </c>
      <c r="K22" s="45" t="str">
        <f t="shared" si="3"/>
        <v/>
      </c>
      <c r="L22" s="64" t="str">
        <f t="shared" si="4"/>
        <v/>
      </c>
      <c r="M22" s="46" t="str">
        <f t="shared" si="5"/>
        <v/>
      </c>
    </row>
    <row r="23" ht="15.75" customHeight="1">
      <c r="B23" s="35"/>
      <c r="C23" s="53"/>
      <c r="D23" s="44"/>
      <c r="E23" s="53"/>
      <c r="F23" s="44"/>
      <c r="G23" s="66"/>
      <c r="H23" s="44"/>
      <c r="I23" s="45" t="str">
        <f t="shared" si="1"/>
        <v/>
      </c>
      <c r="J23" s="45" t="str">
        <f t="shared" si="2"/>
        <v/>
      </c>
      <c r="K23" s="45" t="str">
        <f t="shared" si="3"/>
        <v/>
      </c>
      <c r="L23" s="64" t="str">
        <f t="shared" si="4"/>
        <v/>
      </c>
      <c r="M23" s="46" t="str">
        <f t="shared" si="5"/>
        <v/>
      </c>
    </row>
    <row r="24" ht="15.75" customHeight="1">
      <c r="B24" s="35"/>
      <c r="C24" s="53"/>
      <c r="D24" s="44"/>
      <c r="E24" s="53"/>
      <c r="F24" s="44"/>
      <c r="G24" s="66"/>
      <c r="H24" s="44"/>
      <c r="I24" s="45" t="str">
        <f t="shared" si="1"/>
        <v/>
      </c>
      <c r="J24" s="45" t="str">
        <f t="shared" si="2"/>
        <v/>
      </c>
      <c r="K24" s="45" t="str">
        <f t="shared" si="3"/>
        <v/>
      </c>
      <c r="L24" s="64" t="str">
        <f t="shared" si="4"/>
        <v/>
      </c>
      <c r="M24" s="46" t="str">
        <f t="shared" si="5"/>
        <v/>
      </c>
    </row>
    <row r="25" ht="15.75" customHeight="1">
      <c r="B25" s="35"/>
      <c r="C25" s="53"/>
      <c r="D25" s="44"/>
      <c r="E25" s="53"/>
      <c r="F25" s="44"/>
      <c r="G25" s="66"/>
      <c r="H25" s="44"/>
      <c r="I25" s="45" t="str">
        <f t="shared" si="1"/>
        <v/>
      </c>
      <c r="J25" s="45" t="str">
        <f t="shared" si="2"/>
        <v/>
      </c>
      <c r="K25" s="45" t="str">
        <f t="shared" si="3"/>
        <v/>
      </c>
      <c r="L25" s="64" t="str">
        <f t="shared" si="4"/>
        <v/>
      </c>
      <c r="M25" s="46" t="str">
        <f t="shared" si="5"/>
        <v/>
      </c>
    </row>
    <row r="26" ht="15.75" customHeight="1">
      <c r="B26" s="35"/>
      <c r="C26" s="53"/>
      <c r="D26" s="44"/>
      <c r="E26" s="53"/>
      <c r="F26" s="44"/>
      <c r="G26" s="66"/>
      <c r="H26" s="44"/>
      <c r="I26" s="45" t="str">
        <f t="shared" si="1"/>
        <v/>
      </c>
      <c r="J26" s="45" t="str">
        <f t="shared" si="2"/>
        <v/>
      </c>
      <c r="K26" s="45" t="str">
        <f t="shared" si="3"/>
        <v/>
      </c>
      <c r="L26" s="64" t="str">
        <f t="shared" si="4"/>
        <v/>
      </c>
      <c r="M26" s="46" t="str">
        <f t="shared" si="5"/>
        <v/>
      </c>
    </row>
    <row r="27" ht="15.75" customHeight="1">
      <c r="B27" s="35"/>
      <c r="C27" s="53"/>
      <c r="D27" s="44"/>
      <c r="E27" s="53"/>
      <c r="F27" s="44"/>
      <c r="G27" s="66"/>
      <c r="H27" s="44"/>
      <c r="I27" s="45" t="str">
        <f t="shared" si="1"/>
        <v/>
      </c>
      <c r="J27" s="45" t="str">
        <f t="shared" si="2"/>
        <v/>
      </c>
      <c r="K27" s="45" t="str">
        <f t="shared" si="3"/>
        <v/>
      </c>
      <c r="L27" s="64" t="str">
        <f t="shared" si="4"/>
        <v/>
      </c>
      <c r="M27" s="46" t="str">
        <f t="shared" si="5"/>
        <v/>
      </c>
    </row>
    <row r="28" ht="15.75" customHeight="1">
      <c r="B28" s="35"/>
      <c r="C28" s="53"/>
      <c r="D28" s="44"/>
      <c r="E28" s="53"/>
      <c r="F28" s="44"/>
      <c r="G28" s="66"/>
      <c r="H28" s="44"/>
      <c r="I28" s="45" t="str">
        <f t="shared" si="1"/>
        <v/>
      </c>
      <c r="J28" s="45" t="str">
        <f t="shared" si="2"/>
        <v/>
      </c>
      <c r="K28" s="45" t="str">
        <f t="shared" si="3"/>
        <v/>
      </c>
      <c r="L28" s="64" t="str">
        <f t="shared" si="4"/>
        <v/>
      </c>
      <c r="M28" s="46" t="str">
        <f t="shared" si="5"/>
        <v/>
      </c>
    </row>
    <row r="29" ht="15.75" customHeight="1">
      <c r="B29" s="35"/>
      <c r="C29" s="53"/>
      <c r="D29" s="44"/>
      <c r="E29" s="53"/>
      <c r="F29" s="44"/>
      <c r="G29" s="66"/>
      <c r="H29" s="44"/>
      <c r="I29" s="45" t="str">
        <f t="shared" si="1"/>
        <v/>
      </c>
      <c r="J29" s="45" t="str">
        <f t="shared" si="2"/>
        <v/>
      </c>
      <c r="K29" s="45" t="str">
        <f t="shared" si="3"/>
        <v/>
      </c>
      <c r="L29" s="64" t="str">
        <f t="shared" si="4"/>
        <v/>
      </c>
      <c r="M29" s="46" t="str">
        <f t="shared" si="5"/>
        <v/>
      </c>
    </row>
    <row r="30" ht="15.75" customHeight="1">
      <c r="B30" s="35"/>
      <c r="C30" s="53"/>
      <c r="D30" s="44"/>
      <c r="E30" s="53"/>
      <c r="F30" s="44"/>
      <c r="G30" s="66"/>
      <c r="H30" s="44"/>
      <c r="I30" s="45" t="str">
        <f t="shared" si="1"/>
        <v/>
      </c>
      <c r="J30" s="45" t="str">
        <f t="shared" si="2"/>
        <v/>
      </c>
      <c r="K30" s="45" t="str">
        <f t="shared" si="3"/>
        <v/>
      </c>
      <c r="L30" s="64" t="str">
        <f t="shared" si="4"/>
        <v/>
      </c>
      <c r="M30" s="46" t="str">
        <f t="shared" si="5"/>
        <v/>
      </c>
    </row>
    <row r="31" ht="15.75" customHeight="1">
      <c r="B31" s="35"/>
      <c r="C31" s="53"/>
      <c r="D31" s="44"/>
      <c r="E31" s="53"/>
      <c r="F31" s="44"/>
      <c r="G31" s="66"/>
      <c r="H31" s="44"/>
      <c r="I31" s="45" t="str">
        <f t="shared" si="1"/>
        <v/>
      </c>
      <c r="J31" s="45" t="str">
        <f t="shared" si="2"/>
        <v/>
      </c>
      <c r="K31" s="45" t="str">
        <f t="shared" si="3"/>
        <v/>
      </c>
      <c r="L31" s="64" t="str">
        <f t="shared" si="4"/>
        <v/>
      </c>
      <c r="M31" s="46" t="str">
        <f t="shared" si="5"/>
        <v/>
      </c>
    </row>
    <row r="32" ht="15.75" customHeight="1">
      <c r="B32" s="35"/>
      <c r="C32" s="53"/>
      <c r="D32" s="44"/>
      <c r="E32" s="53"/>
      <c r="F32" s="44"/>
      <c r="G32" s="66"/>
      <c r="H32" s="44"/>
      <c r="I32" s="45" t="str">
        <f t="shared" si="1"/>
        <v/>
      </c>
      <c r="J32" s="45" t="str">
        <f t="shared" si="2"/>
        <v/>
      </c>
      <c r="K32" s="45" t="str">
        <f t="shared" si="3"/>
        <v/>
      </c>
      <c r="L32" s="64" t="str">
        <f t="shared" si="4"/>
        <v/>
      </c>
      <c r="M32" s="46" t="str">
        <f t="shared" si="5"/>
        <v/>
      </c>
    </row>
    <row r="33" ht="15.75" customHeight="1">
      <c r="B33" s="35"/>
      <c r="C33" s="53"/>
      <c r="D33" s="44"/>
      <c r="E33" s="53"/>
      <c r="F33" s="44"/>
      <c r="G33" s="66"/>
      <c r="H33" s="44"/>
      <c r="I33" s="45" t="str">
        <f t="shared" si="1"/>
        <v/>
      </c>
      <c r="J33" s="45" t="str">
        <f t="shared" si="2"/>
        <v/>
      </c>
      <c r="K33" s="45" t="str">
        <f t="shared" si="3"/>
        <v/>
      </c>
      <c r="L33" s="64" t="str">
        <f t="shared" si="4"/>
        <v/>
      </c>
      <c r="M33" s="46" t="str">
        <f t="shared" si="5"/>
        <v/>
      </c>
    </row>
    <row r="34" ht="15.75" customHeight="1">
      <c r="B34" s="35"/>
      <c r="C34" s="53"/>
      <c r="D34" s="44"/>
      <c r="E34" s="53"/>
      <c r="F34" s="44"/>
      <c r="G34" s="66"/>
      <c r="H34" s="44"/>
      <c r="I34" s="45" t="str">
        <f t="shared" si="1"/>
        <v/>
      </c>
      <c r="J34" s="45" t="str">
        <f t="shared" si="2"/>
        <v/>
      </c>
      <c r="K34" s="45" t="str">
        <f t="shared" si="3"/>
        <v/>
      </c>
      <c r="L34" s="64" t="str">
        <f t="shared" si="4"/>
        <v/>
      </c>
      <c r="M34" s="46" t="str">
        <f t="shared" si="5"/>
        <v/>
      </c>
    </row>
    <row r="35" ht="15.75" customHeight="1">
      <c r="B35" s="35"/>
      <c r="C35" s="53"/>
      <c r="D35" s="44"/>
      <c r="E35" s="53"/>
      <c r="F35" s="44"/>
      <c r="G35" s="66"/>
      <c r="H35" s="44"/>
      <c r="I35" s="45" t="str">
        <f t="shared" si="1"/>
        <v/>
      </c>
      <c r="J35" s="45" t="str">
        <f t="shared" si="2"/>
        <v/>
      </c>
      <c r="K35" s="45" t="str">
        <f t="shared" si="3"/>
        <v/>
      </c>
      <c r="L35" s="64" t="str">
        <f t="shared" si="4"/>
        <v/>
      </c>
      <c r="M35" s="46" t="str">
        <f t="shared" si="5"/>
        <v/>
      </c>
    </row>
    <row r="36" ht="24.0" customHeight="1">
      <c r="B36" s="29" t="s">
        <v>158</v>
      </c>
      <c r="C36" s="31"/>
      <c r="D36" s="31"/>
      <c r="E36" s="31"/>
      <c r="F36" s="31"/>
      <c r="G36" s="31"/>
      <c r="H36" s="31"/>
      <c r="I36" s="67">
        <f t="shared" ref="I36:K36" si="6">SUM(I16:I35)</f>
        <v>38100</v>
      </c>
      <c r="J36" s="67">
        <f t="shared" si="6"/>
        <v>758.0666667</v>
      </c>
      <c r="K36" s="67">
        <f t="shared" si="6"/>
        <v>37341.93333</v>
      </c>
      <c r="L36" s="31"/>
      <c r="M36" s="3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0:M10"/>
    <mergeCell ref="A11:M11"/>
    <mergeCell ref="A12:M12"/>
    <mergeCell ref="A13:M13"/>
    <mergeCell ref="A2:M2"/>
    <mergeCell ref="A3:M3"/>
    <mergeCell ref="A5:M5"/>
    <mergeCell ref="A6:M6"/>
    <mergeCell ref="A7:M7"/>
    <mergeCell ref="A8:M8"/>
    <mergeCell ref="A9:M9"/>
  </mergeCells>
  <conditionalFormatting sqref="K16:K35">
    <cfRule type="cellIs" dxfId="0" priority="1" operator="greaterThan">
      <formula>0</formula>
    </cfRule>
  </conditionalFormatting>
  <conditionalFormatting sqref="K16:K35">
    <cfRule type="cellIs" dxfId="1" priority="2" operator="lessThan">
      <formula>0</formula>
    </cfRule>
  </conditionalFormatting>
  <conditionalFormatting sqref="M16:M35">
    <cfRule type="cellIs" dxfId="0" priority="3" operator="greaterThan">
      <formula>0</formula>
    </cfRule>
  </conditionalFormatting>
  <conditionalFormatting sqref="M16:M35">
    <cfRule type="cellIs" dxfId="1" priority="4" operator="lessThan">
      <formula>0</formula>
    </cfRule>
  </conditionalFormatting>
  <conditionalFormatting sqref="L16:L35">
    <cfRule type="cellIs" dxfId="1" priority="5" operator="lessThan">
      <formula>0.3</formula>
    </cfRule>
  </conditionalFormatting>
  <conditionalFormatting sqref="L16:L35">
    <cfRule type="cellIs" dxfId="0" priority="6" operator="greaterThanOrEqual">
      <formula>0.3</formula>
    </cfRule>
  </conditionalFormatting>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8.0"/>
    <col customWidth="1" min="3" max="3" width="13.0"/>
    <col customWidth="1" min="4" max="4" width="14.0"/>
    <col customWidth="1" min="5" max="5" width="13.0"/>
    <col customWidth="1" min="6" max="6" width="10.0"/>
    <col customWidth="1" min="7" max="7" width="11.0"/>
    <col customWidth="1" min="8" max="8" width="12.0"/>
    <col customWidth="1" min="9" max="9" width="13.0"/>
    <col customWidth="1" min="10" max="12" width="14.0"/>
    <col customWidth="1" min="13" max="26" width="8.71"/>
  </cols>
  <sheetData>
    <row r="2" ht="30.0" customHeight="1">
      <c r="A2" s="1" t="s">
        <v>159</v>
      </c>
    </row>
    <row r="3" ht="49.5" customHeight="1">
      <c r="A3" s="24" t="s">
        <v>160</v>
      </c>
      <c r="B3" s="11"/>
      <c r="C3" s="11"/>
      <c r="D3" s="11"/>
      <c r="E3" s="11"/>
      <c r="F3" s="11"/>
      <c r="G3" s="11"/>
      <c r="H3" s="11"/>
      <c r="I3" s="11"/>
      <c r="J3" s="11"/>
      <c r="K3" s="11"/>
      <c r="L3" s="12"/>
    </row>
    <row r="5" ht="36.0" customHeight="1">
      <c r="A5" s="25"/>
      <c r="B5" s="25" t="s">
        <v>161</v>
      </c>
      <c r="C5" s="25" t="s">
        <v>162</v>
      </c>
      <c r="D5" s="25" t="s">
        <v>163</v>
      </c>
      <c r="E5" s="25" t="s">
        <v>164</v>
      </c>
      <c r="F5" s="25" t="s">
        <v>165</v>
      </c>
      <c r="G5" s="25" t="s">
        <v>166</v>
      </c>
      <c r="H5" s="25" t="s">
        <v>167</v>
      </c>
      <c r="I5" s="25" t="s">
        <v>168</v>
      </c>
      <c r="J5" s="25" t="s">
        <v>169</v>
      </c>
      <c r="K5" s="25" t="s">
        <v>170</v>
      </c>
      <c r="L5" s="25" t="s">
        <v>49</v>
      </c>
    </row>
    <row r="6">
      <c r="B6" s="35" t="s">
        <v>171</v>
      </c>
      <c r="C6" s="68" t="s">
        <v>172</v>
      </c>
      <c r="D6" s="69">
        <v>0.0</v>
      </c>
      <c r="E6" s="69">
        <v>0.0</v>
      </c>
      <c r="F6" s="70">
        <v>0.0</v>
      </c>
      <c r="G6" s="71">
        <v>0.0</v>
      </c>
      <c r="H6" s="71">
        <v>0.0</v>
      </c>
      <c r="I6" s="69">
        <v>0.0</v>
      </c>
      <c r="J6" s="45">
        <f t="shared" ref="J6:J23" si="1">IF(B6="","",IF(C6="Financed",IF(OR(G6=0,G6="",F6="",D6=""),0,PMT(F6/12,G6,-(D6-IF(E6="",0,E6)))),IF(C6="Cash",IF(OR(H6=0,H6="",D6=""),0,D6/(H6*12)),0)))</f>
        <v>0</v>
      </c>
      <c r="K6" s="45">
        <f t="shared" ref="K6:K23" si="2">IF(B6="","",J6+IF(I6="",0,I6))</f>
        <v>0</v>
      </c>
      <c r="L6" s="28" t="s">
        <v>173</v>
      </c>
    </row>
    <row r="7">
      <c r="B7" s="35" t="s">
        <v>174</v>
      </c>
      <c r="C7" s="68" t="s">
        <v>175</v>
      </c>
      <c r="D7" s="62">
        <v>0.0</v>
      </c>
      <c r="E7" s="62">
        <v>0.0</v>
      </c>
      <c r="F7" s="38">
        <v>0.0</v>
      </c>
      <c r="G7" s="61">
        <v>0.0</v>
      </c>
      <c r="H7" s="61">
        <v>7.0</v>
      </c>
      <c r="I7" s="69">
        <v>0.0</v>
      </c>
      <c r="J7" s="45">
        <f t="shared" si="1"/>
        <v>0</v>
      </c>
      <c r="K7" s="45">
        <f t="shared" si="2"/>
        <v>0</v>
      </c>
      <c r="L7" s="28" t="s">
        <v>176</v>
      </c>
    </row>
    <row r="8">
      <c r="B8" s="35" t="s">
        <v>177</v>
      </c>
      <c r="C8" s="68" t="s">
        <v>175</v>
      </c>
      <c r="D8" s="62">
        <v>0.0</v>
      </c>
      <c r="E8" s="62">
        <v>0.0</v>
      </c>
      <c r="F8" s="38">
        <v>0.0</v>
      </c>
      <c r="G8" s="61">
        <v>0.0</v>
      </c>
      <c r="H8" s="61">
        <v>10.0</v>
      </c>
      <c r="I8" s="62">
        <v>0.0</v>
      </c>
      <c r="J8" s="45">
        <f t="shared" si="1"/>
        <v>0</v>
      </c>
      <c r="K8" s="45">
        <f t="shared" si="2"/>
        <v>0</v>
      </c>
      <c r="L8" s="28" t="s">
        <v>178</v>
      </c>
    </row>
    <row r="9">
      <c r="B9" s="35"/>
      <c r="C9" s="72"/>
      <c r="D9" s="44"/>
      <c r="E9" s="44"/>
      <c r="F9" s="47"/>
      <c r="G9" s="53"/>
      <c r="H9" s="53"/>
      <c r="I9" s="44"/>
      <c r="J9" s="45" t="str">
        <f t="shared" si="1"/>
        <v/>
      </c>
      <c r="K9" s="45" t="str">
        <f t="shared" si="2"/>
        <v/>
      </c>
      <c r="L9" s="28"/>
    </row>
    <row r="10">
      <c r="B10" s="35"/>
      <c r="C10" s="72"/>
      <c r="D10" s="44"/>
      <c r="E10" s="44"/>
      <c r="F10" s="47"/>
      <c r="G10" s="53"/>
      <c r="H10" s="53"/>
      <c r="I10" s="44"/>
      <c r="J10" s="45" t="str">
        <f t="shared" si="1"/>
        <v/>
      </c>
      <c r="K10" s="45" t="str">
        <f t="shared" si="2"/>
        <v/>
      </c>
      <c r="L10" s="28"/>
    </row>
    <row r="11">
      <c r="B11" s="35"/>
      <c r="C11" s="72"/>
      <c r="D11" s="44"/>
      <c r="E11" s="44"/>
      <c r="F11" s="47"/>
      <c r="G11" s="53"/>
      <c r="H11" s="53"/>
      <c r="I11" s="44"/>
      <c r="J11" s="45" t="str">
        <f t="shared" si="1"/>
        <v/>
      </c>
      <c r="K11" s="45" t="str">
        <f t="shared" si="2"/>
        <v/>
      </c>
      <c r="L11" s="28"/>
    </row>
    <row r="12">
      <c r="B12" s="35"/>
      <c r="C12" s="72"/>
      <c r="D12" s="44"/>
      <c r="E12" s="44"/>
      <c r="F12" s="47"/>
      <c r="G12" s="53"/>
      <c r="H12" s="53"/>
      <c r="I12" s="44"/>
      <c r="J12" s="45" t="str">
        <f t="shared" si="1"/>
        <v/>
      </c>
      <c r="K12" s="45" t="str">
        <f t="shared" si="2"/>
        <v/>
      </c>
      <c r="L12" s="28"/>
    </row>
    <row r="13">
      <c r="B13" s="35"/>
      <c r="C13" s="72"/>
      <c r="D13" s="44"/>
      <c r="E13" s="44"/>
      <c r="F13" s="47"/>
      <c r="G13" s="53"/>
      <c r="H13" s="53"/>
      <c r="I13" s="44"/>
      <c r="J13" s="45" t="str">
        <f t="shared" si="1"/>
        <v/>
      </c>
      <c r="K13" s="45" t="str">
        <f t="shared" si="2"/>
        <v/>
      </c>
      <c r="L13" s="28"/>
    </row>
    <row r="14">
      <c r="B14" s="35"/>
      <c r="C14" s="72"/>
      <c r="D14" s="44"/>
      <c r="E14" s="44"/>
      <c r="F14" s="47"/>
      <c r="G14" s="53"/>
      <c r="H14" s="53"/>
      <c r="I14" s="44"/>
      <c r="J14" s="45" t="str">
        <f t="shared" si="1"/>
        <v/>
      </c>
      <c r="K14" s="45" t="str">
        <f t="shared" si="2"/>
        <v/>
      </c>
      <c r="L14" s="28"/>
    </row>
    <row r="15">
      <c r="B15" s="35"/>
      <c r="C15" s="72"/>
      <c r="D15" s="44"/>
      <c r="E15" s="44"/>
      <c r="F15" s="47"/>
      <c r="G15" s="53"/>
      <c r="H15" s="53"/>
      <c r="I15" s="44"/>
      <c r="J15" s="45" t="str">
        <f t="shared" si="1"/>
        <v/>
      </c>
      <c r="K15" s="45" t="str">
        <f t="shared" si="2"/>
        <v/>
      </c>
      <c r="L15" s="28"/>
    </row>
    <row r="16">
      <c r="B16" s="35"/>
      <c r="C16" s="72"/>
      <c r="D16" s="44"/>
      <c r="E16" s="44"/>
      <c r="F16" s="47"/>
      <c r="G16" s="53"/>
      <c r="H16" s="53"/>
      <c r="I16" s="44"/>
      <c r="J16" s="45" t="str">
        <f t="shared" si="1"/>
        <v/>
      </c>
      <c r="K16" s="45" t="str">
        <f t="shared" si="2"/>
        <v/>
      </c>
      <c r="L16" s="28"/>
    </row>
    <row r="17">
      <c r="B17" s="35"/>
      <c r="C17" s="72"/>
      <c r="D17" s="44"/>
      <c r="E17" s="44"/>
      <c r="F17" s="47"/>
      <c r="G17" s="53"/>
      <c r="H17" s="53"/>
      <c r="I17" s="44"/>
      <c r="J17" s="45" t="str">
        <f t="shared" si="1"/>
        <v/>
      </c>
      <c r="K17" s="45" t="str">
        <f t="shared" si="2"/>
        <v/>
      </c>
      <c r="L17" s="28"/>
    </row>
    <row r="18">
      <c r="B18" s="35"/>
      <c r="C18" s="72"/>
      <c r="D18" s="44"/>
      <c r="E18" s="44"/>
      <c r="F18" s="47"/>
      <c r="G18" s="53"/>
      <c r="H18" s="53"/>
      <c r="I18" s="44"/>
      <c r="J18" s="45" t="str">
        <f t="shared" si="1"/>
        <v/>
      </c>
      <c r="K18" s="45" t="str">
        <f t="shared" si="2"/>
        <v/>
      </c>
      <c r="L18" s="28"/>
    </row>
    <row r="19">
      <c r="B19" s="35"/>
      <c r="C19" s="72"/>
      <c r="D19" s="44"/>
      <c r="E19" s="44"/>
      <c r="F19" s="47"/>
      <c r="G19" s="53"/>
      <c r="H19" s="53"/>
      <c r="I19" s="44"/>
      <c r="J19" s="45" t="str">
        <f t="shared" si="1"/>
        <v/>
      </c>
      <c r="K19" s="45" t="str">
        <f t="shared" si="2"/>
        <v/>
      </c>
      <c r="L19" s="28"/>
    </row>
    <row r="20">
      <c r="B20" s="35"/>
      <c r="C20" s="72"/>
      <c r="D20" s="44"/>
      <c r="E20" s="44"/>
      <c r="F20" s="47"/>
      <c r="G20" s="53"/>
      <c r="H20" s="53"/>
      <c r="I20" s="44"/>
      <c r="J20" s="45" t="str">
        <f t="shared" si="1"/>
        <v/>
      </c>
      <c r="K20" s="45" t="str">
        <f t="shared" si="2"/>
        <v/>
      </c>
      <c r="L20" s="28"/>
    </row>
    <row r="21" ht="15.75" customHeight="1">
      <c r="B21" s="35"/>
      <c r="C21" s="72"/>
      <c r="D21" s="44"/>
      <c r="E21" s="44"/>
      <c r="F21" s="47"/>
      <c r="G21" s="53"/>
      <c r="H21" s="53"/>
      <c r="I21" s="44"/>
      <c r="J21" s="45" t="str">
        <f t="shared" si="1"/>
        <v/>
      </c>
      <c r="K21" s="45" t="str">
        <f t="shared" si="2"/>
        <v/>
      </c>
      <c r="L21" s="28"/>
    </row>
    <row r="22" ht="15.75" customHeight="1">
      <c r="B22" s="35"/>
      <c r="C22" s="72"/>
      <c r="D22" s="44"/>
      <c r="E22" s="44"/>
      <c r="F22" s="47"/>
      <c r="G22" s="53"/>
      <c r="H22" s="53"/>
      <c r="I22" s="44"/>
      <c r="J22" s="45" t="str">
        <f t="shared" si="1"/>
        <v/>
      </c>
      <c r="K22" s="45" t="str">
        <f t="shared" si="2"/>
        <v/>
      </c>
      <c r="L22" s="28"/>
    </row>
    <row r="23" ht="15.75" customHeight="1">
      <c r="B23" s="35"/>
      <c r="C23" s="72"/>
      <c r="D23" s="44"/>
      <c r="E23" s="44"/>
      <c r="F23" s="47"/>
      <c r="G23" s="53"/>
      <c r="H23" s="53"/>
      <c r="I23" s="44"/>
      <c r="J23" s="45" t="str">
        <f t="shared" si="1"/>
        <v/>
      </c>
      <c r="K23" s="45" t="str">
        <f t="shared" si="2"/>
        <v/>
      </c>
      <c r="L23" s="28"/>
    </row>
    <row r="24" ht="24.0" customHeight="1">
      <c r="B24" s="29" t="s">
        <v>179</v>
      </c>
      <c r="C24" s="31"/>
      <c r="D24" s="31"/>
      <c r="E24" s="31"/>
      <c r="F24" s="31"/>
      <c r="G24" s="31"/>
      <c r="H24" s="31"/>
      <c r="I24" s="31"/>
      <c r="J24" s="67">
        <f t="shared" ref="J24:K24" si="3">SUM(J6:J23)</f>
        <v>0</v>
      </c>
      <c r="K24" s="67">
        <f t="shared" si="3"/>
        <v>0</v>
      </c>
      <c r="L24" s="31"/>
    </row>
    <row r="25" ht="15.75" customHeight="1"/>
    <row r="26" ht="36.0" customHeight="1">
      <c r="B26" s="24" t="s">
        <v>180</v>
      </c>
      <c r="C26" s="11"/>
      <c r="D26" s="11"/>
      <c r="E26" s="11"/>
      <c r="F26" s="11"/>
      <c r="G26" s="11"/>
      <c r="H26" s="11"/>
      <c r="I26" s="11"/>
      <c r="J26" s="11"/>
      <c r="K26" s="11"/>
      <c r="L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L2"/>
    <mergeCell ref="A3:L3"/>
    <mergeCell ref="B26:L2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8.0"/>
    <col customWidth="1" min="3" max="3" width="13.0"/>
    <col customWidth="1" min="4" max="7" width="14.0"/>
    <col customWidth="1" min="8" max="9" width="12.0"/>
    <col customWidth="1" min="10" max="10" width="14.0"/>
    <col customWidth="1" min="11" max="26" width="8.71"/>
  </cols>
  <sheetData>
    <row r="2" ht="30.0" customHeight="1">
      <c r="A2" s="1" t="s">
        <v>181</v>
      </c>
    </row>
    <row r="3" ht="49.5" customHeight="1">
      <c r="A3" s="24" t="s">
        <v>182</v>
      </c>
      <c r="B3" s="11"/>
      <c r="C3" s="11"/>
      <c r="D3" s="11"/>
      <c r="E3" s="11"/>
      <c r="F3" s="11"/>
      <c r="G3" s="11"/>
      <c r="H3" s="11"/>
      <c r="I3" s="11"/>
      <c r="J3" s="12"/>
    </row>
    <row r="5" ht="36.0" customHeight="1">
      <c r="A5" s="25"/>
      <c r="B5" s="25" t="s">
        <v>183</v>
      </c>
      <c r="C5" s="25" t="s">
        <v>184</v>
      </c>
      <c r="D5" s="25" t="s">
        <v>185</v>
      </c>
      <c r="E5" s="25" t="s">
        <v>186</v>
      </c>
      <c r="F5" s="25" t="s">
        <v>187</v>
      </c>
      <c r="G5" s="25" t="s">
        <v>163</v>
      </c>
      <c r="H5" s="25" t="s">
        <v>188</v>
      </c>
      <c r="I5" s="25" t="s">
        <v>189</v>
      </c>
      <c r="J5" s="25" t="s">
        <v>190</v>
      </c>
    </row>
    <row r="6">
      <c r="B6" s="73" t="s">
        <v>191</v>
      </c>
      <c r="C6" s="27">
        <v>125.0</v>
      </c>
      <c r="D6" s="27">
        <v>55.0</v>
      </c>
      <c r="E6" s="74">
        <v>2.0</v>
      </c>
      <c r="F6" s="75">
        <f>IF(B6="","",E6*'2. Labor'!$J$34)</f>
        <v>111.3159763</v>
      </c>
      <c r="G6" s="45">
        <f t="shared" ref="G6:G23" si="1">IF(B6="","",D6+F6)</f>
        <v>166.3159763</v>
      </c>
      <c r="H6" s="45">
        <f t="shared" ref="H6:H23" si="2">IF(B6="","",C6-G6)</f>
        <v>-41.31597633</v>
      </c>
      <c r="I6" s="64">
        <f t="shared" ref="I6:I23" si="3">IF(OR(B6="",C6=0),"",H6/C6)</f>
        <v>-0.3305278107</v>
      </c>
      <c r="J6" s="74">
        <v>2.0</v>
      </c>
    </row>
    <row r="7">
      <c r="B7" s="73" t="s">
        <v>192</v>
      </c>
      <c r="C7" s="27">
        <v>600.0</v>
      </c>
      <c r="D7" s="27">
        <v>180.0</v>
      </c>
      <c r="E7" s="74">
        <v>3.0</v>
      </c>
      <c r="F7" s="75">
        <f>IF(B7="","",E7*'2. Labor'!$J$34)</f>
        <v>166.9739645</v>
      </c>
      <c r="G7" s="45">
        <f t="shared" si="1"/>
        <v>346.9739645</v>
      </c>
      <c r="H7" s="45">
        <f t="shared" si="2"/>
        <v>253.0260355</v>
      </c>
      <c r="I7" s="64">
        <f t="shared" si="3"/>
        <v>0.4217100592</v>
      </c>
      <c r="J7" s="74">
        <v>2.0</v>
      </c>
    </row>
    <row r="8">
      <c r="B8" s="76"/>
      <c r="C8" s="77"/>
      <c r="D8" s="77"/>
      <c r="E8" s="78"/>
      <c r="F8" s="75" t="str">
        <f>IF(B8="","",E8*'2. Labor'!$J$34)</f>
        <v/>
      </c>
      <c r="G8" s="45" t="str">
        <f t="shared" si="1"/>
        <v/>
      </c>
      <c r="H8" s="45" t="str">
        <f t="shared" si="2"/>
        <v/>
      </c>
      <c r="I8" s="64" t="str">
        <f t="shared" si="3"/>
        <v/>
      </c>
      <c r="J8" s="74">
        <v>0.0</v>
      </c>
    </row>
    <row r="9">
      <c r="B9" s="73" t="s">
        <v>193</v>
      </c>
      <c r="C9" s="79">
        <v>297.0</v>
      </c>
      <c r="D9" s="79">
        <v>25.0</v>
      </c>
      <c r="E9" s="80">
        <v>1.0</v>
      </c>
      <c r="F9" s="75">
        <f>IF(B9="","",E9*'2. Labor'!$J$34)</f>
        <v>55.65798817</v>
      </c>
      <c r="G9" s="45">
        <f t="shared" si="1"/>
        <v>80.65798817</v>
      </c>
      <c r="H9" s="45">
        <f t="shared" si="2"/>
        <v>216.3420118</v>
      </c>
      <c r="I9" s="64">
        <f t="shared" si="3"/>
        <v>0.7284242823</v>
      </c>
      <c r="J9" s="80">
        <v>7.0</v>
      </c>
    </row>
    <row r="10">
      <c r="B10" s="73" t="s">
        <v>194</v>
      </c>
      <c r="C10" s="79">
        <v>450.0</v>
      </c>
      <c r="D10" s="79">
        <v>100.0</v>
      </c>
      <c r="E10" s="80">
        <v>3.0</v>
      </c>
      <c r="F10" s="75">
        <f>IF(B10="","",E10*'2. Labor'!$J$34)</f>
        <v>166.9739645</v>
      </c>
      <c r="G10" s="45">
        <f t="shared" si="1"/>
        <v>266.9739645</v>
      </c>
      <c r="H10" s="45">
        <f t="shared" si="2"/>
        <v>183.0260355</v>
      </c>
      <c r="I10" s="64">
        <f t="shared" si="3"/>
        <v>0.4067245233</v>
      </c>
      <c r="J10" s="80">
        <v>3.0</v>
      </c>
    </row>
    <row r="11">
      <c r="B11" s="73" t="s">
        <v>195</v>
      </c>
      <c r="C11" s="79">
        <v>175.0</v>
      </c>
      <c r="D11" s="79">
        <v>50.0</v>
      </c>
      <c r="E11" s="80">
        <v>1.5</v>
      </c>
      <c r="F11" s="75">
        <f>IF(B11="","",E11*'2. Labor'!$J$34)</f>
        <v>83.48698225</v>
      </c>
      <c r="G11" s="45">
        <f t="shared" si="1"/>
        <v>133.4869822</v>
      </c>
      <c r="H11" s="45">
        <f t="shared" si="2"/>
        <v>41.51301775</v>
      </c>
      <c r="I11" s="64">
        <f t="shared" si="3"/>
        <v>0.2372172443</v>
      </c>
      <c r="J11" s="80">
        <v>3.0</v>
      </c>
    </row>
    <row r="12">
      <c r="B12" s="35"/>
      <c r="C12" s="44"/>
      <c r="D12" s="44"/>
      <c r="E12" s="66"/>
      <c r="F12" s="75" t="str">
        <f>IF(B12="","",E12*'2. Labor'!$J$34)</f>
        <v/>
      </c>
      <c r="G12" s="45" t="str">
        <f t="shared" si="1"/>
        <v/>
      </c>
      <c r="H12" s="45" t="str">
        <f t="shared" si="2"/>
        <v/>
      </c>
      <c r="I12" s="64" t="str">
        <f t="shared" si="3"/>
        <v/>
      </c>
      <c r="J12" s="66"/>
    </row>
    <row r="13">
      <c r="B13" s="35"/>
      <c r="C13" s="44"/>
      <c r="D13" s="44"/>
      <c r="E13" s="66"/>
      <c r="F13" s="75" t="str">
        <f>IF(B13="","",E13*'2. Labor'!$J$34)</f>
        <v/>
      </c>
      <c r="G13" s="45" t="str">
        <f t="shared" si="1"/>
        <v/>
      </c>
      <c r="H13" s="45" t="str">
        <f t="shared" si="2"/>
        <v/>
      </c>
      <c r="I13" s="64" t="str">
        <f t="shared" si="3"/>
        <v/>
      </c>
      <c r="J13" s="66"/>
    </row>
    <row r="14">
      <c r="B14" s="35"/>
      <c r="C14" s="44"/>
      <c r="D14" s="44"/>
      <c r="E14" s="66"/>
      <c r="F14" s="75" t="str">
        <f>IF(B14="","",E14*'2. Labor'!$J$34)</f>
        <v/>
      </c>
      <c r="G14" s="45" t="str">
        <f t="shared" si="1"/>
        <v/>
      </c>
      <c r="H14" s="45" t="str">
        <f t="shared" si="2"/>
        <v/>
      </c>
      <c r="I14" s="64" t="str">
        <f t="shared" si="3"/>
        <v/>
      </c>
      <c r="J14" s="66"/>
    </row>
    <row r="15">
      <c r="B15" s="35"/>
      <c r="C15" s="44"/>
      <c r="D15" s="44"/>
      <c r="E15" s="66"/>
      <c r="F15" s="75" t="str">
        <f>IF(B15="","",E15*'2. Labor'!$J$34)</f>
        <v/>
      </c>
      <c r="G15" s="45" t="str">
        <f t="shared" si="1"/>
        <v/>
      </c>
      <c r="H15" s="45" t="str">
        <f t="shared" si="2"/>
        <v/>
      </c>
      <c r="I15" s="64" t="str">
        <f t="shared" si="3"/>
        <v/>
      </c>
      <c r="J15" s="66"/>
    </row>
    <row r="16">
      <c r="B16" s="35"/>
      <c r="C16" s="44"/>
      <c r="D16" s="44"/>
      <c r="E16" s="66"/>
      <c r="F16" s="75" t="str">
        <f>IF(B16="","",E16*'2. Labor'!$J$34)</f>
        <v/>
      </c>
      <c r="G16" s="45" t="str">
        <f t="shared" si="1"/>
        <v/>
      </c>
      <c r="H16" s="45" t="str">
        <f t="shared" si="2"/>
        <v/>
      </c>
      <c r="I16" s="64" t="str">
        <f t="shared" si="3"/>
        <v/>
      </c>
      <c r="J16" s="66"/>
    </row>
    <row r="17">
      <c r="B17" s="35"/>
      <c r="C17" s="44"/>
      <c r="D17" s="44"/>
      <c r="E17" s="66"/>
      <c r="F17" s="75" t="str">
        <f>IF(B17="","",E17*'2. Labor'!$J$34)</f>
        <v/>
      </c>
      <c r="G17" s="45" t="str">
        <f t="shared" si="1"/>
        <v/>
      </c>
      <c r="H17" s="45" t="str">
        <f t="shared" si="2"/>
        <v/>
      </c>
      <c r="I17" s="64" t="str">
        <f t="shared" si="3"/>
        <v/>
      </c>
      <c r="J17" s="66"/>
    </row>
    <row r="18">
      <c r="B18" s="35"/>
      <c r="C18" s="44"/>
      <c r="D18" s="44"/>
      <c r="E18" s="66"/>
      <c r="F18" s="75" t="str">
        <f>IF(B18="","",E18*'2. Labor'!$J$34)</f>
        <v/>
      </c>
      <c r="G18" s="45" t="str">
        <f t="shared" si="1"/>
        <v/>
      </c>
      <c r="H18" s="45" t="str">
        <f t="shared" si="2"/>
        <v/>
      </c>
      <c r="I18" s="64" t="str">
        <f t="shared" si="3"/>
        <v/>
      </c>
      <c r="J18" s="66"/>
    </row>
    <row r="19">
      <c r="B19" s="35"/>
      <c r="C19" s="44"/>
      <c r="D19" s="44"/>
      <c r="E19" s="66"/>
      <c r="F19" s="75" t="str">
        <f>IF(B19="","",E19*'2. Labor'!$J$34)</f>
        <v/>
      </c>
      <c r="G19" s="45" t="str">
        <f t="shared" si="1"/>
        <v/>
      </c>
      <c r="H19" s="45" t="str">
        <f t="shared" si="2"/>
        <v/>
      </c>
      <c r="I19" s="64" t="str">
        <f t="shared" si="3"/>
        <v/>
      </c>
      <c r="J19" s="66"/>
    </row>
    <row r="20">
      <c r="B20" s="35"/>
      <c r="C20" s="44"/>
      <c r="D20" s="44"/>
      <c r="E20" s="66"/>
      <c r="F20" s="75" t="str">
        <f>IF(B20="","",E20*'2. Labor'!$J$34)</f>
        <v/>
      </c>
      <c r="G20" s="45" t="str">
        <f t="shared" si="1"/>
        <v/>
      </c>
      <c r="H20" s="45" t="str">
        <f t="shared" si="2"/>
        <v/>
      </c>
      <c r="I20" s="64" t="str">
        <f t="shared" si="3"/>
        <v/>
      </c>
      <c r="J20" s="66"/>
    </row>
    <row r="21" ht="15.75" customHeight="1">
      <c r="B21" s="35"/>
      <c r="C21" s="44"/>
      <c r="D21" s="44"/>
      <c r="E21" s="66"/>
      <c r="F21" s="75" t="str">
        <f>IF(B21="","",E21*'2. Labor'!$J$34)</f>
        <v/>
      </c>
      <c r="G21" s="45" t="str">
        <f t="shared" si="1"/>
        <v/>
      </c>
      <c r="H21" s="45" t="str">
        <f t="shared" si="2"/>
        <v/>
      </c>
      <c r="I21" s="64" t="str">
        <f t="shared" si="3"/>
        <v/>
      </c>
      <c r="J21" s="66"/>
    </row>
    <row r="22" ht="15.75" customHeight="1">
      <c r="B22" s="35"/>
      <c r="C22" s="44"/>
      <c r="D22" s="44"/>
      <c r="E22" s="66"/>
      <c r="F22" s="75" t="str">
        <f>IF(B22="","",E22*'2. Labor'!$J$34)</f>
        <v/>
      </c>
      <c r="G22" s="45" t="str">
        <f t="shared" si="1"/>
        <v/>
      </c>
      <c r="H22" s="45" t="str">
        <f t="shared" si="2"/>
        <v/>
      </c>
      <c r="I22" s="64" t="str">
        <f t="shared" si="3"/>
        <v/>
      </c>
      <c r="J22" s="66"/>
    </row>
    <row r="23" ht="15.75" customHeight="1">
      <c r="B23" s="35"/>
      <c r="C23" s="44"/>
      <c r="D23" s="44"/>
      <c r="E23" s="66"/>
      <c r="F23" s="75" t="str">
        <f>IF(B23="","",E23*'2. Labor'!$J$34)</f>
        <v/>
      </c>
      <c r="G23" s="45" t="str">
        <f t="shared" si="1"/>
        <v/>
      </c>
      <c r="H23" s="45" t="str">
        <f t="shared" si="2"/>
        <v/>
      </c>
      <c r="I23" s="64" t="str">
        <f t="shared" si="3"/>
        <v/>
      </c>
      <c r="J23" s="66"/>
    </row>
    <row r="24" ht="24.0" customHeight="1">
      <c r="B24" s="29" t="s">
        <v>196</v>
      </c>
      <c r="C24" s="55">
        <f>SUMPRODUCT(C6:C23,J6:J23)</f>
        <v>5404</v>
      </c>
      <c r="D24" s="31"/>
      <c r="E24" s="54">
        <f>SUMPRODUCT(E6:E23,J6:J23)</f>
        <v>30.5</v>
      </c>
      <c r="F24" s="31"/>
      <c r="G24" s="55">
        <f>SUMPRODUCT(G6:G23,J6:J23)</f>
        <v>2792.568639</v>
      </c>
      <c r="H24" s="55">
        <f>C24-G24</f>
        <v>2611.431361</v>
      </c>
      <c r="I24" s="31"/>
      <c r="J24" s="3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J2"/>
    <mergeCell ref="A3:J3"/>
  </mergeCells>
  <conditionalFormatting sqref="H6:H23">
    <cfRule type="cellIs" dxfId="0" priority="1" operator="greaterThan">
      <formula>0</formula>
    </cfRule>
  </conditionalFormatting>
  <conditionalFormatting sqref="H6:H23">
    <cfRule type="cellIs" dxfId="1" priority="2" operator="lessThan">
      <formula>0</formula>
    </cfRule>
  </conditionalFormatting>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8.0"/>
    <col customWidth="1" min="3" max="3" width="18.0"/>
    <col customWidth="1" min="4" max="4" width="4.0"/>
    <col customWidth="1" min="5" max="5" width="38.0"/>
    <col customWidth="1" min="6" max="6" width="18.0"/>
    <col customWidth="1" min="7" max="15" width="12.0"/>
    <col customWidth="1" min="16" max="26" width="8.71"/>
  </cols>
  <sheetData>
    <row r="2" ht="30.0" customHeight="1">
      <c r="A2" s="1" t="s">
        <v>197</v>
      </c>
    </row>
    <row r="3" ht="49.5" customHeight="1">
      <c r="A3" s="24" t="s">
        <v>198</v>
      </c>
      <c r="B3" s="11"/>
      <c r="C3" s="11"/>
      <c r="D3" s="11"/>
      <c r="E3" s="11"/>
      <c r="F3" s="11"/>
      <c r="G3" s="11"/>
      <c r="H3" s="11"/>
      <c r="I3" s="11"/>
      <c r="J3" s="11"/>
      <c r="K3" s="11"/>
      <c r="L3" s="11"/>
      <c r="M3" s="11"/>
      <c r="N3" s="11"/>
      <c r="O3" s="12"/>
    </row>
    <row r="5" ht="24.0" customHeight="1">
      <c r="A5" s="34" t="s">
        <v>199</v>
      </c>
      <c r="B5" s="11"/>
      <c r="C5" s="12"/>
      <c r="E5" s="34" t="s">
        <v>200</v>
      </c>
      <c r="F5" s="12"/>
    </row>
    <row r="6">
      <c r="B6" s="35" t="s">
        <v>201</v>
      </c>
      <c r="C6" s="75">
        <f>'1. Overhead'!$C$26</f>
        <v>17776</v>
      </c>
      <c r="E6" s="35" t="s">
        <v>202</v>
      </c>
      <c r="F6" s="63">
        <v>128.0</v>
      </c>
    </row>
    <row r="7">
      <c r="B7" s="35" t="s">
        <v>203</v>
      </c>
      <c r="C7" s="75">
        <f>'2. Labor'!$I$34</f>
        <v>20378.5323</v>
      </c>
      <c r="E7" s="35" t="s">
        <v>204</v>
      </c>
      <c r="F7" s="81">
        <v>110.0</v>
      </c>
    </row>
    <row r="8">
      <c r="B8" s="35" t="s">
        <v>205</v>
      </c>
      <c r="C8" s="75">
        <f>'3. Equipment'!$J$36</f>
        <v>758.0666667</v>
      </c>
      <c r="E8" s="35" t="s">
        <v>206</v>
      </c>
      <c r="F8" s="75">
        <f>'3. Equipment'!$I$36</f>
        <v>38100</v>
      </c>
    </row>
    <row r="9">
      <c r="B9" s="35" t="s">
        <v>207</v>
      </c>
      <c r="C9" s="75">
        <f>'4. Investments'!$K$24</f>
        <v>0</v>
      </c>
      <c r="E9" s="35" t="s">
        <v>208</v>
      </c>
      <c r="F9" s="75">
        <f>'5. Packaged Items'!$C$24</f>
        <v>5404</v>
      </c>
    </row>
    <row r="10" ht="21.75" customHeight="1">
      <c r="B10" s="57" t="s">
        <v>209</v>
      </c>
      <c r="C10" s="82">
        <f>SUM(C6:C9)</f>
        <v>38912.59897</v>
      </c>
      <c r="E10" s="57" t="s">
        <v>210</v>
      </c>
      <c r="F10" s="82">
        <f>$F$6*$F$7+F8+F9</f>
        <v>57584</v>
      </c>
    </row>
    <row r="12" ht="24.0" customHeight="1">
      <c r="A12" s="34" t="s">
        <v>211</v>
      </c>
      <c r="B12" s="11"/>
      <c r="C12" s="11"/>
      <c r="D12" s="11"/>
      <c r="E12" s="11"/>
      <c r="F12" s="11"/>
      <c r="G12" s="11"/>
      <c r="H12" s="11"/>
      <c r="I12" s="11"/>
      <c r="J12" s="11"/>
      <c r="K12" s="11"/>
      <c r="L12" s="11"/>
      <c r="M12" s="11"/>
      <c r="N12" s="11"/>
      <c r="O12" s="12"/>
    </row>
    <row r="13" ht="31.5" customHeight="1">
      <c r="B13" s="83" t="s">
        <v>212</v>
      </c>
      <c r="C13" s="84">
        <f>'6. DASHBOARD'!$F$10-'6. DASHBOARD'!$C$10</f>
        <v>18671.40103</v>
      </c>
      <c r="E13" s="83" t="s">
        <v>213</v>
      </c>
      <c r="F13" s="85" t="str">
        <f>IF($C$13&gt;0,"✅ PROFITABLE",IF($C$13&lt;0,"❌ LOSING MONEY","⚠️ BREAK-EVEN"))</f>
        <v>✅ PROFITABLE</v>
      </c>
    </row>
    <row r="15">
      <c r="B15" s="35" t="s">
        <v>214</v>
      </c>
      <c r="C15" s="86" t="str">
        <f>IF('1. Overhead'!$C$26&gt;0,"✅ Yes — included in overhead","⚠️ Check Overhead tab")</f>
        <v>✅ Yes — included in overhead</v>
      </c>
    </row>
    <row r="17" ht="24.0" customHeight="1">
      <c r="A17" s="34" t="s">
        <v>215</v>
      </c>
      <c r="B17" s="11"/>
      <c r="C17" s="11"/>
      <c r="D17" s="11"/>
      <c r="E17" s="11"/>
      <c r="F17" s="11"/>
      <c r="G17" s="11"/>
      <c r="H17" s="11"/>
      <c r="I17" s="11"/>
      <c r="J17" s="11"/>
      <c r="K17" s="11"/>
      <c r="L17" s="11"/>
      <c r="M17" s="11"/>
      <c r="N17" s="11"/>
      <c r="O17" s="12"/>
    </row>
    <row r="18">
      <c r="B18" s="35" t="s">
        <v>216</v>
      </c>
      <c r="C18" s="42">
        <f>MAX(0,('6. DASHBOARD'!$C$10-('3. Equipment'!$I$36+'5. Packaged Items'!$C$24))/$F$7)</f>
        <v>0</v>
      </c>
    </row>
    <row r="19">
      <c r="B19" s="35" t="s">
        <v>217</v>
      </c>
      <c r="C19" s="87">
        <f>$F$7</f>
        <v>110</v>
      </c>
    </row>
    <row r="20">
      <c r="B20" s="35" t="s">
        <v>218</v>
      </c>
      <c r="C20" s="88">
        <f>IFERROR(ROUNDUP(C18/IFERROR('2. Labor'!$G$34/'2. Labor'!$C$37,0),0),0)</f>
        <v>0</v>
      </c>
    </row>
    <row r="21" ht="15.75" customHeight="1">
      <c r="B21" s="35" t="s">
        <v>219</v>
      </c>
      <c r="C21" s="89">
        <f>'2. Labor'!$G$34</f>
        <v>366.1385</v>
      </c>
    </row>
    <row r="22" ht="15.75" customHeight="1">
      <c r="B22" s="35" t="s">
        <v>220</v>
      </c>
      <c r="C22" s="90" t="str">
        <f>IF($F$6&gt;'2. Labor'!$G$34,"⚠️ YES — hire or work overtime","✅ Within capacity")</f>
        <v>✅ Within capacity</v>
      </c>
    </row>
    <row r="23" ht="15.75" customHeight="1"/>
    <row r="24" ht="15.75" customHeight="1">
      <c r="B24" s="35" t="s">
        <v>221</v>
      </c>
      <c r="C24" s="46">
        <f>IFERROR(MAX(0,('6. DASHBOARD'!$C$10-('3. Equipment'!$I$36+'5. Packaged Items'!$C$24))/$F$6),0)</f>
        <v>0</v>
      </c>
    </row>
    <row r="25" ht="15.75" customHeight="1">
      <c r="B25" s="35" t="s">
        <v>222</v>
      </c>
      <c r="C25" s="89">
        <f>$F$6</f>
        <v>128</v>
      </c>
    </row>
    <row r="26" ht="15.75" customHeight="1">
      <c r="B26" s="91" t="s">
        <v>223</v>
      </c>
    </row>
    <row r="27" ht="15.75" customHeight="1"/>
    <row r="28" ht="15.75" customHeight="1">
      <c r="B28" s="35" t="s">
        <v>224</v>
      </c>
      <c r="C28" s="75">
        <f>'3. Equipment'!$K$36</f>
        <v>37341.93333</v>
      </c>
    </row>
    <row r="29" ht="15.75" customHeight="1">
      <c r="B29" s="91" t="s">
        <v>225</v>
      </c>
    </row>
    <row r="30" ht="15.75" customHeight="1"/>
    <row r="31" ht="15.75" customHeight="1">
      <c r="B31" s="35" t="s">
        <v>226</v>
      </c>
      <c r="C31" s="75">
        <f>'4. Investments'!$K$24</f>
        <v>0</v>
      </c>
    </row>
    <row r="32" ht="15.75" customHeight="1">
      <c r="B32" s="35" t="s">
        <v>227</v>
      </c>
      <c r="C32" s="42">
        <f>IFERROR('4. Investments'!$K$24/$F$7,0)</f>
        <v>0</v>
      </c>
    </row>
    <row r="33" ht="15.75" customHeight="1">
      <c r="B33" s="91" t="s">
        <v>228</v>
      </c>
    </row>
    <row r="34" ht="15.75" customHeight="1"/>
    <row r="35" ht="15.75" customHeight="1">
      <c r="B35" s="35" t="s">
        <v>229</v>
      </c>
      <c r="C35" s="87">
        <f>'2. Labor'!$J$34</f>
        <v>55.65798817</v>
      </c>
    </row>
    <row r="36" ht="15.75" customHeight="1"/>
    <row r="37" ht="24.0" customHeight="1">
      <c r="A37" s="34" t="s">
        <v>230</v>
      </c>
      <c r="B37" s="11"/>
      <c r="C37" s="11"/>
      <c r="D37" s="11"/>
      <c r="E37" s="11"/>
      <c r="F37" s="11"/>
      <c r="G37" s="11"/>
      <c r="H37" s="11"/>
      <c r="I37" s="11"/>
      <c r="J37" s="11"/>
      <c r="K37" s="11"/>
      <c r="L37" s="11"/>
      <c r="M37" s="11"/>
      <c r="N37" s="11"/>
      <c r="O37" s="12"/>
    </row>
    <row r="38" ht="30.0" customHeight="1">
      <c r="B38" s="24" t="s">
        <v>231</v>
      </c>
      <c r="C38" s="11"/>
      <c r="D38" s="11"/>
      <c r="E38" s="11"/>
      <c r="F38" s="11"/>
      <c r="G38" s="11"/>
      <c r="H38" s="11"/>
      <c r="I38" s="11"/>
      <c r="J38" s="11"/>
      <c r="K38" s="12"/>
    </row>
    <row r="39" ht="15.75" customHeight="1"/>
    <row r="40" ht="15.75" customHeight="1">
      <c r="B40" s="92" t="s">
        <v>232</v>
      </c>
      <c r="C40" s="93">
        <v>65.0</v>
      </c>
      <c r="D40" s="93">
        <v>75.0</v>
      </c>
      <c r="E40" s="93">
        <v>85.0</v>
      </c>
      <c r="F40" s="93">
        <v>95.0</v>
      </c>
      <c r="G40" s="93">
        <v>105.0</v>
      </c>
      <c r="H40" s="93">
        <v>115.0</v>
      </c>
      <c r="I40" s="93">
        <v>125.0</v>
      </c>
      <c r="J40" s="93">
        <v>135.0</v>
      </c>
      <c r="K40" s="93">
        <v>150.0</v>
      </c>
    </row>
    <row r="41" ht="15.75" customHeight="1">
      <c r="B41" s="94">
        <v>50.0</v>
      </c>
      <c r="C41" s="45">
        <f>C$40*$B41+'3. Equipment'!$I$36+'5. Packaged Items'!$C$24-'6. DASHBOARD'!$C$10</f>
        <v>7841.401033</v>
      </c>
      <c r="D41" s="45">
        <f>D$40*$B41+'3. Equipment'!$I$36+'5. Packaged Items'!$C$24-'6. DASHBOARD'!$C$10</f>
        <v>8341.401033</v>
      </c>
      <c r="E41" s="45">
        <f>E$40*$B41+'3. Equipment'!$I$36+'5. Packaged Items'!$C$24-'6. DASHBOARD'!$C$10</f>
        <v>8841.401033</v>
      </c>
      <c r="F41" s="45">
        <f>F$40*$B41+'3. Equipment'!$I$36+'5. Packaged Items'!$C$24-'6. DASHBOARD'!$C$10</f>
        <v>9341.401033</v>
      </c>
      <c r="G41" s="45">
        <f>G$40*$B41+'3. Equipment'!$I$36+'5. Packaged Items'!$C$24-'6. DASHBOARD'!$C$10</f>
        <v>9841.401033</v>
      </c>
      <c r="H41" s="45">
        <f>H$40*$B41+'3. Equipment'!$I$36+'5. Packaged Items'!$C$24-'6. DASHBOARD'!$C$10</f>
        <v>10341.40103</v>
      </c>
      <c r="I41" s="45">
        <f>I$40*$B41+'3. Equipment'!$I$36+'5. Packaged Items'!$C$24-'6. DASHBOARD'!$C$10</f>
        <v>10841.40103</v>
      </c>
      <c r="J41" s="45">
        <f>J$40*$B41+'3. Equipment'!$I$36+'5. Packaged Items'!$C$24-'6. DASHBOARD'!$C$10</f>
        <v>11341.40103</v>
      </c>
      <c r="K41" s="45">
        <f>K$40*$B41+'3. Equipment'!$I$36+'5. Packaged Items'!$C$24-'6. DASHBOARD'!$C$10</f>
        <v>12091.40103</v>
      </c>
    </row>
    <row r="42" ht="15.75" customHeight="1">
      <c r="B42" s="94">
        <v>100.0</v>
      </c>
      <c r="C42" s="45">
        <f>C$40*$B42+'3. Equipment'!$I$36+'5. Packaged Items'!$C$24-'6. DASHBOARD'!$C$10</f>
        <v>11091.40103</v>
      </c>
      <c r="D42" s="45">
        <f>D$40*$B42+'3. Equipment'!$I$36+'5. Packaged Items'!$C$24-'6. DASHBOARD'!$C$10</f>
        <v>12091.40103</v>
      </c>
      <c r="E42" s="45">
        <f>E$40*$B42+'3. Equipment'!$I$36+'5. Packaged Items'!$C$24-'6. DASHBOARD'!$C$10</f>
        <v>13091.40103</v>
      </c>
      <c r="F42" s="45">
        <f>F$40*$B42+'3. Equipment'!$I$36+'5. Packaged Items'!$C$24-'6. DASHBOARD'!$C$10</f>
        <v>14091.40103</v>
      </c>
      <c r="G42" s="45">
        <f>G$40*$B42+'3. Equipment'!$I$36+'5. Packaged Items'!$C$24-'6. DASHBOARD'!$C$10</f>
        <v>15091.40103</v>
      </c>
      <c r="H42" s="45">
        <f>H$40*$B42+'3. Equipment'!$I$36+'5. Packaged Items'!$C$24-'6. DASHBOARD'!$C$10</f>
        <v>16091.40103</v>
      </c>
      <c r="I42" s="45">
        <f>I$40*$B42+'3. Equipment'!$I$36+'5. Packaged Items'!$C$24-'6. DASHBOARD'!$C$10</f>
        <v>17091.40103</v>
      </c>
      <c r="J42" s="45">
        <f>J$40*$B42+'3. Equipment'!$I$36+'5. Packaged Items'!$C$24-'6. DASHBOARD'!$C$10</f>
        <v>18091.40103</v>
      </c>
      <c r="K42" s="45">
        <f>K$40*$B42+'3. Equipment'!$I$36+'5. Packaged Items'!$C$24-'6. DASHBOARD'!$C$10</f>
        <v>19591.40103</v>
      </c>
    </row>
    <row r="43" ht="15.75" customHeight="1">
      <c r="B43" s="94">
        <v>150.0</v>
      </c>
      <c r="C43" s="45">
        <f>C$40*$B43+'3. Equipment'!$I$36+'5. Packaged Items'!$C$24-'6. DASHBOARD'!$C$10</f>
        <v>14341.40103</v>
      </c>
      <c r="D43" s="45">
        <f>D$40*$B43+'3. Equipment'!$I$36+'5. Packaged Items'!$C$24-'6. DASHBOARD'!$C$10</f>
        <v>15841.40103</v>
      </c>
      <c r="E43" s="45">
        <f>E$40*$B43+'3. Equipment'!$I$36+'5. Packaged Items'!$C$24-'6. DASHBOARD'!$C$10</f>
        <v>17341.40103</v>
      </c>
      <c r="F43" s="45">
        <f>F$40*$B43+'3. Equipment'!$I$36+'5. Packaged Items'!$C$24-'6. DASHBOARD'!$C$10</f>
        <v>18841.40103</v>
      </c>
      <c r="G43" s="45">
        <f>G$40*$B43+'3. Equipment'!$I$36+'5. Packaged Items'!$C$24-'6. DASHBOARD'!$C$10</f>
        <v>20341.40103</v>
      </c>
      <c r="H43" s="45">
        <f>H$40*$B43+'3. Equipment'!$I$36+'5. Packaged Items'!$C$24-'6. DASHBOARD'!$C$10</f>
        <v>21841.40103</v>
      </c>
      <c r="I43" s="45">
        <f>I$40*$B43+'3. Equipment'!$I$36+'5. Packaged Items'!$C$24-'6. DASHBOARD'!$C$10</f>
        <v>23341.40103</v>
      </c>
      <c r="J43" s="45">
        <f>J$40*$B43+'3. Equipment'!$I$36+'5. Packaged Items'!$C$24-'6. DASHBOARD'!$C$10</f>
        <v>24841.40103</v>
      </c>
      <c r="K43" s="45">
        <f>K$40*$B43+'3. Equipment'!$I$36+'5. Packaged Items'!$C$24-'6. DASHBOARD'!$C$10</f>
        <v>27091.40103</v>
      </c>
    </row>
    <row r="44" ht="15.75" customHeight="1">
      <c r="B44" s="94">
        <v>200.0</v>
      </c>
      <c r="C44" s="45">
        <f>C$40*$B44+'3. Equipment'!$I$36+'5. Packaged Items'!$C$24-'6. DASHBOARD'!$C$10</f>
        <v>17591.40103</v>
      </c>
      <c r="D44" s="45">
        <f>D$40*$B44+'3. Equipment'!$I$36+'5. Packaged Items'!$C$24-'6. DASHBOARD'!$C$10</f>
        <v>19591.40103</v>
      </c>
      <c r="E44" s="45">
        <f>E$40*$B44+'3. Equipment'!$I$36+'5. Packaged Items'!$C$24-'6. DASHBOARD'!$C$10</f>
        <v>21591.40103</v>
      </c>
      <c r="F44" s="45">
        <f>F$40*$B44+'3. Equipment'!$I$36+'5. Packaged Items'!$C$24-'6. DASHBOARD'!$C$10</f>
        <v>23591.40103</v>
      </c>
      <c r="G44" s="45">
        <f>G$40*$B44+'3. Equipment'!$I$36+'5. Packaged Items'!$C$24-'6. DASHBOARD'!$C$10</f>
        <v>25591.40103</v>
      </c>
      <c r="H44" s="45">
        <f>H$40*$B44+'3. Equipment'!$I$36+'5. Packaged Items'!$C$24-'6. DASHBOARD'!$C$10</f>
        <v>27591.40103</v>
      </c>
      <c r="I44" s="45">
        <f>I$40*$B44+'3. Equipment'!$I$36+'5. Packaged Items'!$C$24-'6. DASHBOARD'!$C$10</f>
        <v>29591.40103</v>
      </c>
      <c r="J44" s="45">
        <f>J$40*$B44+'3. Equipment'!$I$36+'5. Packaged Items'!$C$24-'6. DASHBOARD'!$C$10</f>
        <v>31591.40103</v>
      </c>
      <c r="K44" s="45">
        <f>K$40*$B44+'3. Equipment'!$I$36+'5. Packaged Items'!$C$24-'6. DASHBOARD'!$C$10</f>
        <v>34591.40103</v>
      </c>
    </row>
    <row r="45" ht="15.75" customHeight="1">
      <c r="B45" s="94">
        <v>250.0</v>
      </c>
      <c r="C45" s="45">
        <f>C$40*$B45+'3. Equipment'!$I$36+'5. Packaged Items'!$C$24-'6. DASHBOARD'!$C$10</f>
        <v>20841.40103</v>
      </c>
      <c r="D45" s="45">
        <f>D$40*$B45+'3. Equipment'!$I$36+'5. Packaged Items'!$C$24-'6. DASHBOARD'!$C$10</f>
        <v>23341.40103</v>
      </c>
      <c r="E45" s="45">
        <f>E$40*$B45+'3. Equipment'!$I$36+'5. Packaged Items'!$C$24-'6. DASHBOARD'!$C$10</f>
        <v>25841.40103</v>
      </c>
      <c r="F45" s="45">
        <f>F$40*$B45+'3. Equipment'!$I$36+'5. Packaged Items'!$C$24-'6. DASHBOARD'!$C$10</f>
        <v>28341.40103</v>
      </c>
      <c r="G45" s="45">
        <f>G$40*$B45+'3. Equipment'!$I$36+'5. Packaged Items'!$C$24-'6. DASHBOARD'!$C$10</f>
        <v>30841.40103</v>
      </c>
      <c r="H45" s="45">
        <f>H$40*$B45+'3. Equipment'!$I$36+'5. Packaged Items'!$C$24-'6. DASHBOARD'!$C$10</f>
        <v>33341.40103</v>
      </c>
      <c r="I45" s="45">
        <f>I$40*$B45+'3. Equipment'!$I$36+'5. Packaged Items'!$C$24-'6. DASHBOARD'!$C$10</f>
        <v>35841.40103</v>
      </c>
      <c r="J45" s="45">
        <f>J$40*$B45+'3. Equipment'!$I$36+'5. Packaged Items'!$C$24-'6. DASHBOARD'!$C$10</f>
        <v>38341.40103</v>
      </c>
      <c r="K45" s="45">
        <f>K$40*$B45+'3. Equipment'!$I$36+'5. Packaged Items'!$C$24-'6. DASHBOARD'!$C$10</f>
        <v>42091.40103</v>
      </c>
    </row>
    <row r="46" ht="15.75" customHeight="1">
      <c r="B46" s="94">
        <v>300.0</v>
      </c>
      <c r="C46" s="45">
        <f>C$40*$B46+'3. Equipment'!$I$36+'5. Packaged Items'!$C$24-'6. DASHBOARD'!$C$10</f>
        <v>24091.40103</v>
      </c>
      <c r="D46" s="45">
        <f>D$40*$B46+'3. Equipment'!$I$36+'5. Packaged Items'!$C$24-'6. DASHBOARD'!$C$10</f>
        <v>27091.40103</v>
      </c>
      <c r="E46" s="45">
        <f>E$40*$B46+'3. Equipment'!$I$36+'5. Packaged Items'!$C$24-'6. DASHBOARD'!$C$10</f>
        <v>30091.40103</v>
      </c>
      <c r="F46" s="45">
        <f>F$40*$B46+'3. Equipment'!$I$36+'5. Packaged Items'!$C$24-'6. DASHBOARD'!$C$10</f>
        <v>33091.40103</v>
      </c>
      <c r="G46" s="45">
        <f>G$40*$B46+'3. Equipment'!$I$36+'5. Packaged Items'!$C$24-'6. DASHBOARD'!$C$10</f>
        <v>36091.40103</v>
      </c>
      <c r="H46" s="45">
        <f>H$40*$B46+'3. Equipment'!$I$36+'5. Packaged Items'!$C$24-'6. DASHBOARD'!$C$10</f>
        <v>39091.40103</v>
      </c>
      <c r="I46" s="45">
        <f>I$40*$B46+'3. Equipment'!$I$36+'5. Packaged Items'!$C$24-'6. DASHBOARD'!$C$10</f>
        <v>42091.40103</v>
      </c>
      <c r="J46" s="45">
        <f>J$40*$B46+'3. Equipment'!$I$36+'5. Packaged Items'!$C$24-'6. DASHBOARD'!$C$10</f>
        <v>45091.40103</v>
      </c>
      <c r="K46" s="45">
        <f>K$40*$B46+'3. Equipment'!$I$36+'5. Packaged Items'!$C$24-'6. DASHBOARD'!$C$10</f>
        <v>49591.40103</v>
      </c>
    </row>
    <row r="47" ht="15.75" customHeight="1">
      <c r="B47" s="94">
        <v>350.0</v>
      </c>
      <c r="C47" s="45">
        <f>C$40*$B47+'3. Equipment'!$I$36+'5. Packaged Items'!$C$24-'6. DASHBOARD'!$C$10</f>
        <v>27341.40103</v>
      </c>
      <c r="D47" s="45">
        <f>D$40*$B47+'3. Equipment'!$I$36+'5. Packaged Items'!$C$24-'6. DASHBOARD'!$C$10</f>
        <v>30841.40103</v>
      </c>
      <c r="E47" s="45">
        <f>E$40*$B47+'3. Equipment'!$I$36+'5. Packaged Items'!$C$24-'6. DASHBOARD'!$C$10</f>
        <v>34341.40103</v>
      </c>
      <c r="F47" s="45">
        <f>F$40*$B47+'3. Equipment'!$I$36+'5. Packaged Items'!$C$24-'6. DASHBOARD'!$C$10</f>
        <v>37841.40103</v>
      </c>
      <c r="G47" s="45">
        <f>G$40*$B47+'3. Equipment'!$I$36+'5. Packaged Items'!$C$24-'6. DASHBOARD'!$C$10</f>
        <v>41341.40103</v>
      </c>
      <c r="H47" s="45">
        <f>H$40*$B47+'3. Equipment'!$I$36+'5. Packaged Items'!$C$24-'6. DASHBOARD'!$C$10</f>
        <v>44841.40103</v>
      </c>
      <c r="I47" s="45">
        <f>I$40*$B47+'3. Equipment'!$I$36+'5. Packaged Items'!$C$24-'6. DASHBOARD'!$C$10</f>
        <v>48341.40103</v>
      </c>
      <c r="J47" s="45">
        <f>J$40*$B47+'3. Equipment'!$I$36+'5. Packaged Items'!$C$24-'6. DASHBOARD'!$C$10</f>
        <v>51841.40103</v>
      </c>
      <c r="K47" s="45">
        <f>K$40*$B47+'3. Equipment'!$I$36+'5. Packaged Items'!$C$24-'6. DASHBOARD'!$C$10</f>
        <v>57091.40103</v>
      </c>
    </row>
    <row r="48" ht="15.75" customHeight="1">
      <c r="B48" s="94">
        <v>400.0</v>
      </c>
      <c r="C48" s="45">
        <f>C$40*$B48+'3. Equipment'!$I$36+'5. Packaged Items'!$C$24-'6. DASHBOARD'!$C$10</f>
        <v>30591.40103</v>
      </c>
      <c r="D48" s="45">
        <f>D$40*$B48+'3. Equipment'!$I$36+'5. Packaged Items'!$C$24-'6. DASHBOARD'!$C$10</f>
        <v>34591.40103</v>
      </c>
      <c r="E48" s="45">
        <f>E$40*$B48+'3. Equipment'!$I$36+'5. Packaged Items'!$C$24-'6. DASHBOARD'!$C$10</f>
        <v>38591.40103</v>
      </c>
      <c r="F48" s="45">
        <f>F$40*$B48+'3. Equipment'!$I$36+'5. Packaged Items'!$C$24-'6. DASHBOARD'!$C$10</f>
        <v>42591.40103</v>
      </c>
      <c r="G48" s="45">
        <f>G$40*$B48+'3. Equipment'!$I$36+'5. Packaged Items'!$C$24-'6. DASHBOARD'!$C$10</f>
        <v>46591.40103</v>
      </c>
      <c r="H48" s="45">
        <f>H$40*$B48+'3. Equipment'!$I$36+'5. Packaged Items'!$C$24-'6. DASHBOARD'!$C$10</f>
        <v>50591.40103</v>
      </c>
      <c r="I48" s="45">
        <f>I$40*$B48+'3. Equipment'!$I$36+'5. Packaged Items'!$C$24-'6. DASHBOARD'!$C$10</f>
        <v>54591.40103</v>
      </c>
      <c r="J48" s="45">
        <f>J$40*$B48+'3. Equipment'!$I$36+'5. Packaged Items'!$C$24-'6. DASHBOARD'!$C$10</f>
        <v>58591.40103</v>
      </c>
      <c r="K48" s="45">
        <f>K$40*$B48+'3. Equipment'!$I$36+'5. Packaged Items'!$C$24-'6. DASHBOARD'!$C$10</f>
        <v>64591.40103</v>
      </c>
    </row>
    <row r="49" ht="15.75" customHeight="1">
      <c r="B49" s="94">
        <v>450.0</v>
      </c>
      <c r="C49" s="45">
        <f>C$40*$B49+'3. Equipment'!$I$36+'5. Packaged Items'!$C$24-'6. DASHBOARD'!$C$10</f>
        <v>33841.40103</v>
      </c>
      <c r="D49" s="45">
        <f>D$40*$B49+'3. Equipment'!$I$36+'5. Packaged Items'!$C$24-'6. DASHBOARD'!$C$10</f>
        <v>38341.40103</v>
      </c>
      <c r="E49" s="45">
        <f>E$40*$B49+'3. Equipment'!$I$36+'5. Packaged Items'!$C$24-'6. DASHBOARD'!$C$10</f>
        <v>42841.40103</v>
      </c>
      <c r="F49" s="45">
        <f>F$40*$B49+'3. Equipment'!$I$36+'5. Packaged Items'!$C$24-'6. DASHBOARD'!$C$10</f>
        <v>47341.40103</v>
      </c>
      <c r="G49" s="45">
        <f>G$40*$B49+'3. Equipment'!$I$36+'5. Packaged Items'!$C$24-'6. DASHBOARD'!$C$10</f>
        <v>51841.40103</v>
      </c>
      <c r="H49" s="45">
        <f>H$40*$B49+'3. Equipment'!$I$36+'5. Packaged Items'!$C$24-'6. DASHBOARD'!$C$10</f>
        <v>56341.40103</v>
      </c>
      <c r="I49" s="45">
        <f>I$40*$B49+'3. Equipment'!$I$36+'5. Packaged Items'!$C$24-'6. DASHBOARD'!$C$10</f>
        <v>60841.40103</v>
      </c>
      <c r="J49" s="45">
        <f>J$40*$B49+'3. Equipment'!$I$36+'5. Packaged Items'!$C$24-'6. DASHBOARD'!$C$10</f>
        <v>65341.40103</v>
      </c>
      <c r="K49" s="45">
        <f>K$40*$B49+'3. Equipment'!$I$36+'5. Packaged Items'!$C$24-'6. DASHBOARD'!$C$10</f>
        <v>72091.40103</v>
      </c>
    </row>
    <row r="50" ht="15.75" customHeight="1">
      <c r="B50" s="94">
        <v>500.0</v>
      </c>
      <c r="C50" s="45">
        <f>C$40*$B50+'3. Equipment'!$I$36+'5. Packaged Items'!$C$24-'6. DASHBOARD'!$C$10</f>
        <v>37091.40103</v>
      </c>
      <c r="D50" s="45">
        <f>D$40*$B50+'3. Equipment'!$I$36+'5. Packaged Items'!$C$24-'6. DASHBOARD'!$C$10</f>
        <v>42091.40103</v>
      </c>
      <c r="E50" s="45">
        <f>E$40*$B50+'3. Equipment'!$I$36+'5. Packaged Items'!$C$24-'6. DASHBOARD'!$C$10</f>
        <v>47091.40103</v>
      </c>
      <c r="F50" s="45">
        <f>F$40*$B50+'3. Equipment'!$I$36+'5. Packaged Items'!$C$24-'6. DASHBOARD'!$C$10</f>
        <v>52091.40103</v>
      </c>
      <c r="G50" s="45">
        <f>G$40*$B50+'3. Equipment'!$I$36+'5. Packaged Items'!$C$24-'6. DASHBOARD'!$C$10</f>
        <v>57091.40103</v>
      </c>
      <c r="H50" s="45">
        <f>H$40*$B50+'3. Equipment'!$I$36+'5. Packaged Items'!$C$24-'6. DASHBOARD'!$C$10</f>
        <v>62091.40103</v>
      </c>
      <c r="I50" s="45">
        <f>I$40*$B50+'3. Equipment'!$I$36+'5. Packaged Items'!$C$24-'6. DASHBOARD'!$C$10</f>
        <v>67091.40103</v>
      </c>
      <c r="J50" s="45">
        <f>J$40*$B50+'3. Equipment'!$I$36+'5. Packaged Items'!$C$24-'6. DASHBOARD'!$C$10</f>
        <v>72091.40103</v>
      </c>
      <c r="K50" s="45">
        <f>K$40*$B50+'3. Equipment'!$I$36+'5. Packaged Items'!$C$24-'6. DASHBOARD'!$C$10</f>
        <v>79591.40103</v>
      </c>
    </row>
    <row r="51" ht="15.75" customHeight="1"/>
    <row r="52" ht="15.75" customHeight="1"/>
    <row r="53" ht="31.5" customHeight="1">
      <c r="B53" s="24" t="s">
        <v>233</v>
      </c>
      <c r="C53" s="11"/>
      <c r="D53" s="11"/>
      <c r="E53" s="11"/>
      <c r="F53" s="11"/>
      <c r="G53" s="11"/>
      <c r="H53" s="11"/>
      <c r="I53" s="11"/>
      <c r="J53" s="11"/>
      <c r="K53" s="1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38:K38"/>
    <mergeCell ref="B53:K53"/>
    <mergeCell ref="A2:O2"/>
    <mergeCell ref="A3:O3"/>
    <mergeCell ref="A5:C5"/>
    <mergeCell ref="E5:F5"/>
    <mergeCell ref="A12:O12"/>
    <mergeCell ref="A17:O17"/>
    <mergeCell ref="A37:O37"/>
  </mergeCells>
  <conditionalFormatting sqref="C13">
    <cfRule type="cellIs" dxfId="0" priority="1" operator="greaterThan">
      <formula>0</formula>
    </cfRule>
  </conditionalFormatting>
  <conditionalFormatting sqref="C13">
    <cfRule type="cellIs" dxfId="1" priority="2" operator="lessThan">
      <formula>0</formula>
    </cfRule>
  </conditionalFormatting>
  <conditionalFormatting sqref="F13">
    <cfRule type="expression" dxfId="0" priority="3">
      <formula>ISNUMBER(SEARCH("PROFITABLE",F13))</formula>
    </cfRule>
  </conditionalFormatting>
  <conditionalFormatting sqref="F13">
    <cfRule type="expression" dxfId="1" priority="4">
      <formula>ISNUMBER(SEARCH("LOSING",F13))</formula>
    </cfRule>
  </conditionalFormatting>
  <conditionalFormatting sqref="C28">
    <cfRule type="cellIs" dxfId="0" priority="5" operator="greaterThan">
      <formula>0</formula>
    </cfRule>
  </conditionalFormatting>
  <conditionalFormatting sqref="C28">
    <cfRule type="cellIs" dxfId="1" priority="6" operator="lessThan">
      <formula>0</formula>
    </cfRule>
  </conditionalFormatting>
  <conditionalFormatting sqref="C41:K50">
    <cfRule type="cellIs" dxfId="0" priority="7" operator="greaterThan">
      <formula>0</formula>
    </cfRule>
  </conditionalFormatting>
  <conditionalFormatting sqref="C41:K50">
    <cfRule type="cellIs" dxfId="1" priority="8" operator="lessThan">
      <formula>0</formula>
    </cfRule>
  </conditionalFormatting>
  <printOptions/>
  <pageMargins bottom="1.0" footer="0.0" header="0.0" left="0.75" right="0.75" top="1.0"/>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2026-05-01T01:28:24Z</dcterms:created>
  <dc:creator>openpyxl</dc:creator>
</cp:coreProperties>
</file>

<file path=docProps/custom.xml><?xml version="1.0" encoding="utf-8"?>
<Properties xmlns="http://schemas.openxmlformats.org/officeDocument/2006/custom-properties" xmlns:vt="http://schemas.openxmlformats.org/officeDocument/2006/docPropsVTypes"/>
</file>